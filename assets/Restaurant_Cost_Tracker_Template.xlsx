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b877421c9f4e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2f8601808c174649"/>
    <x:sheet xmlns:r="http://schemas.openxmlformats.org/officeDocument/2006/relationships" name="Dashboard" sheetId="2" r:id="R48c2cce11b504057"/>
    <x:sheet xmlns:r="http://schemas.openxmlformats.org/officeDocument/2006/relationships" name="Invoice Log" sheetId="3" r:id="Rf23c77c1c4e1445f"/>
    <x:sheet xmlns:r="http://schemas.openxmlformats.org/officeDocument/2006/relationships" name="Item Price Log" sheetId="4" r:id="R54f44823dcd64ccd"/>
    <x:sheet xmlns:r="http://schemas.openxmlformats.org/officeDocument/2006/relationships" name="Item Master" sheetId="5" r:id="Rbc44fdc8ed8d4a58"/>
    <x:sheet xmlns:r="http://schemas.openxmlformats.org/officeDocument/2006/relationships" name="Sales Summary" sheetId="6" r:id="R7afeb4d558854e6c"/>
    <x:sheet xmlns:r="http://schemas.openxmlformats.org/officeDocument/2006/relationships" name="Review Queue" sheetId="7" r:id="Ra5c168cd4a744656"/>
    <x:sheet xmlns:r="http://schemas.openxmlformats.org/officeDocument/2006/relationships" name="Settings" sheetId="8" r:id="Re65f527b13ae4f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$#,##0.00;[Red]-$#,##0.00"/>
    <x:numFmt numFmtId="202" formatCode="yyyy-mm-dd"/>
    <x:numFmt numFmtId="203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F6F78"/>
      </x:patternFill>
    </x:fill>
    <x:fill>
      <x:patternFill patternType="solid">
        <x:fgColor rgb="FFEAF2F4"/>
      </x:patternFill>
    </x:fill>
  </x:fills>
  <x:borders count="2">
    <x:border/>
    <x:border/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5">
    <x:dxf>
      <x:font>
        <x:color rgb="FF7A4E00"/>
      </x:font>
      <x:fill>
        <x:patternFill patternType="solid">
          <x:bgColor rgb="FFFFF3CD"/>
        </x:patternFill>
      </x:fill>
    </x:dxf>
    <x:dxf>
      <x:font>
        <x:b/>
        <x:color rgb="FFB42318"/>
      </x:font>
      <x:fill>
        <x:patternFill patternType="solid">
          <x:bgColor rgb="FFFDE2E1"/>
        </x:patternFill>
      </x:fill>
    </x:dxf>
    <x:dxf>
      <x:font>
        <x:color rgb="FF7A4E00"/>
      </x:font>
      <x:fill>
        <x:patternFill patternType="solid">
          <x:bgColor rgb="FFFFF3CD"/>
        </x:patternFill>
      </x:fill>
    </x:dxf>
    <x:dxf>
      <x:font>
        <x:b/>
        <x:color rgb="FFB42318"/>
      </x:font>
      <x:fill>
        <x:patternFill patternType="solid">
          <x:bgColor rgb="FFFDE2E1"/>
        </x:patternFill>
      </x:fill>
    </x:dxf>
    <x:dxf>
      <x:font>
        <x:color rgb="FF137A52"/>
      </x:font>
      <x:fill>
        <x:patternFill patternType="solid">
          <x:bgColor rgb="FFDDF3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e6ca2940f544fe" /><Relationship Type="http://schemas.openxmlformats.org/officeDocument/2006/relationships/theme" Target="/xl/theme/theme1.xml" Id="R8576d66a97a8448c" /><Relationship Type="http://schemas.openxmlformats.org/officeDocument/2006/relationships/sharedStrings" Target="/xl/sharedStrings.xml" Id="Rc01850eea6574333" /><Relationship Type="http://schemas.openxmlformats.org/officeDocument/2006/relationships/worksheet" Target="/xl/worksheets/sheet1.xml" Id="R2f8601808c174649" /><Relationship Type="http://schemas.openxmlformats.org/officeDocument/2006/relationships/worksheet" Target="/xl/worksheets/sheet2.xml" Id="R48c2cce11b504057" /><Relationship Type="http://schemas.openxmlformats.org/officeDocument/2006/relationships/worksheet" Target="/xl/worksheets/sheet3.xml" Id="Rf23c77c1c4e1445f" /><Relationship Type="http://schemas.openxmlformats.org/officeDocument/2006/relationships/worksheet" Target="/xl/worksheets/sheet4.xml" Id="R54f44823dcd64ccd" /><Relationship Type="http://schemas.openxmlformats.org/officeDocument/2006/relationships/worksheet" Target="/xl/worksheets/sheet5.xml" Id="Rbc44fdc8ed8d4a58" /><Relationship Type="http://schemas.openxmlformats.org/officeDocument/2006/relationships/worksheet" Target="/xl/worksheets/sheet6.xml" Id="R7afeb4d558854e6c" /><Relationship Type="http://schemas.openxmlformats.org/officeDocument/2006/relationships/worksheet" Target="/xl/worksheets/sheet7.xml" Id="Ra5c168cd4a744656" /><Relationship Type="http://schemas.openxmlformats.org/officeDocument/2006/relationships/worksheet" Target="/xl/worksheets/sheet8.xml" Id="Re65f527b13ae4f3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45413b1e00442e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Sales vs Approved Purchases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Net Sales</c:v>
          </c:tx>
          <c:cat>
            <c:strRef>
              <c:f>'Dashboard'!$A$20:$A$31</c:f>
              <c:strCache>
                <c:ptCount val="0"/>
              </c:strCache>
            </c:strRef>
          </c:cat>
          <c:val>
            <c:numRef>
              <c:f>'Dashboard'!$B$20:$B$31</c:f>
              <c:numCache>
                <c:formatCode>$#,##0.00;[Red]-$#,##0.00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Approved Purchases</c:v>
          </c:tx>
          <c:cat>
            <c:strRef>
              <c:f>'Dashboard'!$A$20:$A$31</c:f>
              <c:strCache>
                <c:ptCount val="0"/>
              </c:strCache>
            </c:strRef>
          </c:cat>
          <c:val>
            <c:numRef>
              <c:f>'Dashboard'!$C$20:$C$31</c:f>
              <c:numCache>
                <c:formatCode>$#,##0.00;[Red]-$#,##0.00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15</xdr:row>
      <xdr:rowOff>0</xdr:rowOff>
    </xdr:from>
    <xdr:to>
      <xdr:col>12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5413b1e00442e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5a188f9b2cd41b5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6" hidden="0" customWidth="1"/>
    <x:col min="3" max="3" width="20" hidden="0" customWidth="1"/>
    <x:col min="4" max="4" width="50" hidden="0" customWidth="1"/>
  </x:cols>
  <x:sheetData>
    <x:row r="1">
      <x:c r="A1" s="20" t="str">
        <x:v>Restaurant Cost Tracker</x:v>
      </x:c>
      <x:c r="B1" s="20"/>
      <x:c r="C1" s="20"/>
      <x:c r="D1" s="20"/>
      <x:c r="E1" s="20"/>
      <x:c r="F1" s="20"/>
      <x:c r="G1" s="20"/>
      <x:c r="H1" s="20"/>
    </x:row>
    <x:row r="2">
      <x:c r="A2" s="20"/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>
      <x:c r="A4" s="22" t="str">
        <x:v>How to use this workbook</x:v>
      </x:c>
      <x:c r="B4" s="22"/>
      <x:c r="C4" s="22"/>
      <x:c r="D4" s="22"/>
      <x:c r="E4" s="22"/>
      <x:c r="F4" s="22"/>
      <x:c r="G4" s="22"/>
      <x:c r="H4" s="22"/>
    </x:row>
    <x:row r="5">
      <x:c r="A5" s="15" t="str">
        <x:v>Step</x:v>
      </x:c>
      <x:c r="B5" s="15" t="str">
        <x:v>Action</x:v>
      </x:c>
      <x:c r="C5" s="15" t="str">
        <x:v>Where</x:v>
      </x:c>
      <x:c r="D5" s="15" t="str">
        <x:v>Important note</x:v>
      </x:c>
      <x:c r="E5" s="21"/>
      <x:c r="F5" s="21"/>
      <x:c r="G5" s="21"/>
      <x:c r="H5" s="21"/>
    </x:row>
    <x:row r="6">
      <x:c r="A6" s="21" t="n">
        <x:v>1</x:v>
      </x:c>
      <x:c r="B6" s="21" t="str">
        <x:v>Enter or import approved invoices.</x:v>
      </x:c>
      <x:c r="C6" s="21" t="str">
        <x:v>Invoice Log</x:v>
      </x:c>
      <x:c r="D6" s="21" t="str">
        <x:v>One row per invoice.</x:v>
      </x:c>
      <x:c r="E6" s="21"/>
      <x:c r="F6" s="21"/>
      <x:c r="G6" s="21"/>
      <x:c r="H6" s="21"/>
    </x:row>
    <x:row r="7">
      <x:c r="A7" s="21" t="n">
        <x:v>2</x:v>
      </x:c>
      <x:c r="B7" s="21" t="str">
        <x:v>Enter every invoice line.</x:v>
      </x:c>
      <x:c r="C7" s="21" t="str">
        <x:v>Item Price Log</x:v>
      </x:c>
      <x:c r="D7" s="21" t="str">
        <x:v>Preserve SKU and original description.</x:v>
      </x:c>
      <x:c r="E7" s="21"/>
      <x:c r="F7" s="21"/>
      <x:c r="G7" s="21"/>
      <x:c r="H7" s="21"/>
    </x:row>
    <x:row r="8">
      <x:c r="A8" s="21" t="n">
        <x:v>3</x:v>
      </x:c>
      <x:c r="B8" s="21" t="str">
        <x:v>Approve and classify new products.</x:v>
      </x:c>
      <x:c r="C8" s="21" t="str">
        <x:v>Item Master</x:v>
      </x:c>
      <x:c r="D8" s="21" t="str">
        <x:v>New items remain marked for review.</x:v>
      </x:c>
      <x:c r="E8" s="21"/>
      <x:c r="F8" s="21"/>
      <x:c r="G8" s="21"/>
      <x:c r="H8" s="21"/>
    </x:row>
    <x:row r="9">
      <x:c r="A9" s="21" t="n">
        <x:v>4</x:v>
      </x:c>
      <x:c r="B9" s="21" t="str">
        <x:v>Enter weekly or monthly sales.</x:v>
      </x:c>
      <x:c r="C9" s="21" t="str">
        <x:v>Sales Summary</x:v>
      </x:c>
      <x:c r="D9" s="21" t="str">
        <x:v>Use net sales excluding sales tax.</x:v>
      </x:c>
      <x:c r="E9" s="21"/>
      <x:c r="F9" s="21"/>
      <x:c r="G9" s="21"/>
      <x:c r="H9" s="21"/>
    </x:row>
    <x:row r="10">
      <x:c r="A10" s="21" t="n">
        <x:v>5</x:v>
      </x:c>
      <x:c r="B10" s="21" t="str">
        <x:v>Resolve exceptions.</x:v>
      </x:c>
      <x:c r="C10" s="21" t="str">
        <x:v>Review Queue</x:v>
      </x:c>
      <x:c r="D10" s="21" t="str">
        <x:v>Do not hide uncertain values.</x:v>
      </x:c>
      <x:c r="E10" s="21"/>
      <x:c r="F10" s="21"/>
      <x:c r="G10" s="21"/>
      <x:c r="H10" s="21"/>
    </x:row>
    <x:row r="11">
      <x:c r="A11" s="21" t="n">
        <x:v>6</x:v>
      </x:c>
      <x:c r="B11" s="21" t="str">
        <x:v>Select a month and print.</x:v>
      </x:c>
      <x:c r="C11" s="21" t="str">
        <x:v>Dashboard</x:v>
      </x:c>
      <x:c r="D11" s="21" t="str">
        <x:v>Purchases are not COGS without inventory values.</x:v>
      </x:c>
      <x:c r="E11" s="21"/>
      <x:c r="F11" s="21"/>
      <x:c r="G11" s="21"/>
      <x:c r="H11" s="21"/>
    </x:row>
    <x:row r="12">
      <x:c r="A12" s="21"/>
      <x:c r="B12" s="21"/>
      <x:c r="C12" s="21"/>
      <x:c r="D12" s="21"/>
      <x:c r="E12" s="21"/>
      <x:c r="F12" s="21"/>
      <x:c r="G12" s="21"/>
      <x:c r="H12" s="21"/>
    </x:row>
    <x:row r="13">
      <x:c r="A13" s="22" t="str">
        <x:v>Metric definitions</x:v>
      </x:c>
      <x:c r="B13" s="22"/>
      <x:c r="C13" s="22"/>
      <x:c r="D13" s="22"/>
      <x:c r="E13" s="21"/>
      <x:c r="F13" s="21"/>
      <x:c r="G13" s="21"/>
      <x:c r="H13" s="21"/>
    </x:row>
    <x:row r="14">
      <x:c r="A14" s="15" t="str">
        <x:v>Metric</x:v>
      </x:c>
      <x:c r="B14" s="15" t="str">
        <x:v>Meaning</x:v>
      </x:c>
      <x:c r="C14" s="21"/>
      <x:c r="D14" s="21"/>
      <x:c r="E14" s="21"/>
      <x:c r="F14" s="21"/>
      <x:c r="G14" s="21"/>
      <x:c r="H14" s="21"/>
    </x:row>
    <x:row r="15">
      <x:c r="A15" s="21" t="str">
        <x:v>Purchases</x:v>
      </x:c>
      <x:c r="B15" s="21" t="str">
        <x:v>Approved invoice totals during the period.</x:v>
      </x:c>
      <x:c r="C15" s="21"/>
      <x:c r="D15" s="21"/>
      <x:c r="E15" s="21"/>
      <x:c r="F15" s="21"/>
      <x:c r="G15" s="21"/>
      <x:c r="H15" s="21"/>
    </x:row>
    <x:row r="16">
      <x:c r="A16" s="21" t="str">
        <x:v>Purchases % of Sales</x:v>
      </x:c>
      <x:c r="B16" s="21" t="str">
        <x:v>Purchases divided by net sales.</x:v>
      </x:c>
      <x:c r="C16" s="21"/>
      <x:c r="D16" s="21"/>
      <x:c r="E16" s="21"/>
      <x:c r="F16" s="21"/>
      <x:c r="G16" s="21"/>
      <x:c r="H16" s="21"/>
    </x:row>
    <x:row r="17">
      <x:c r="A17" s="21" t="str">
        <x:v>Sales Minus Purchases</x:v>
      </x:c>
      <x:c r="B17" s="21" t="str">
        <x:v>Net sales minus purchases. Not net profit.</x:v>
      </x:c>
      <x:c r="C17" s="21"/>
      <x:c r="D17" s="21"/>
      <x:c r="E17" s="21"/>
      <x:c r="F17" s="21"/>
      <x:c r="G17" s="21"/>
      <x:c r="H17" s="21"/>
    </x:row>
    <x:row r="18">
      <x:c r="A18" s="21" t="str">
        <x:v>Estimated Purchase Margin</x:v>
      </x:c>
      <x:c r="B18" s="21" t="str">
        <x:v>Sales minus purchases divided by net sales.</x:v>
      </x:c>
      <x:c r="C18" s="21"/>
      <x:c r="D18" s="21"/>
      <x:c r="E18" s="21"/>
      <x:c r="F18" s="21"/>
      <x:c r="G18" s="21"/>
      <x:c r="H18" s="21"/>
    </x:row>
    <x:row r="19">
      <x:c r="A19" s="21" t="str">
        <x:v>COGS</x:v>
      </x:c>
      <x:c r="B19" s="21" t="str">
        <x:v>Opening inventory + purchases - closing inventory.</x:v>
      </x:c>
      <x:c r="C19" s="21"/>
      <x:c r="D19" s="21"/>
      <x:c r="E19" s="21"/>
      <x:c r="F19" s="21"/>
      <x:c r="G19" s="21"/>
      <x:c r="H19" s="21"/>
    </x:row>
    <x:row r="20">
      <x:c r="A20" s="21" t="str">
        <x:v>Food Cost %</x:v>
      </x:c>
      <x:c r="B20" s="21" t="str">
        <x:v>COGS divided by net sales.</x:v>
      </x:c>
      <x:c r="C20" s="21"/>
      <x:c r="D20" s="21"/>
      <x:c r="E20" s="21"/>
      <x:c r="F20" s="21"/>
      <x:c r="G20" s="21"/>
      <x:c r="H20" s="21"/>
    </x:row>
    <x:row r="21">
      <x:c r="A21" s="21"/>
      <x:c r="B21" s="21"/>
      <x:c r="C21" s="21"/>
      <x:c r="D21" s="21"/>
      <x:c r="E21" s="21"/>
      <x:c r="F21" s="21"/>
      <x:c r="G21" s="21"/>
      <x:c r="H21" s="21"/>
    </x:row>
    <x:row r="22">
      <x:c r="A22" s="21"/>
      <x:c r="B22" s="21"/>
      <x:c r="C22" s="21"/>
      <x:c r="D22" s="21"/>
      <x:c r="E22" s="21"/>
      <x:c r="F22" s="21"/>
      <x:c r="G22" s="21"/>
      <x:c r="H22" s="21"/>
    </x:row>
  </x:sheetData>
  <x:mergeCells>
    <x:mergeCell ref="A1:H2"/>
    <x:mergeCell ref="A4:H4"/>
    <x:mergeCell ref="A13:D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4" t="str">
        <x:v>Restaurant Cost Dashboard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43" t="str">
        <x:v>Restaurant</x:v>
      </x:c>
      <x:c r="B3" t="str">
        <x:f>Settings!B5</x:f>
        <x:v>YOUR RESTAURANT NAME</x:v>
      </x:c>
    </x:row>
    <x:row r="4">
      <x:c r="A4" s="43" t="str">
        <x:v>Selected Month</x:v>
      </x:c>
      <x:c r="B4" t="str">
        <x:f>Settings!B8</x:f>
        <x:v>2026-07</x:v>
      </x:c>
    </x:row>
    <x:row r="5">
      <x:c r="A5" s="43" t="str">
        <x:v>Report Generated</x:v>
      </x:c>
      <x:c r="B5" s="34" t="n">
        <x:f>TODAY()</x:f>
        <x:v>46216</x:v>
      </x:c>
    </x:row>
    <x:row r="7">
      <x:c r="A7" s="9" t="str">
        <x:v>Selected Month Summary</x:v>
      </x:c>
      <x:c r="B7" s="9"/>
      <x:c r="C7" s="9"/>
      <x:c r="D7" s="9" t="str">
        <x:v>Interpretation</x:v>
      </x:c>
      <x:c r="E7" s="9"/>
      <x:c r="F7" s="9"/>
      <x:c r="G7" s="9"/>
      <x:c r="H7" s="9"/>
    </x:row>
    <x:row r="8">
      <x:c r="A8" s="15" t="str">
        <x:v>Metric</x:v>
      </x:c>
      <x:c r="B8" s="15" t="str">
        <x:v>Value</x:v>
      </x:c>
      <x:c r="D8" s="47" t="str">
        <x:v>Purchases are approved invoice totals. Sales Minus Purchases is a purchasing comparison, not net profit. Enter opening and closing inventory values in Sales Summary for inventory-adjusted COGS.</x:v>
      </x:c>
      <x:c r="E8" s="47"/>
      <x:c r="F8" s="47"/>
      <x:c r="G8" s="47"/>
      <x:c r="H8" s="47"/>
    </x:row>
    <x:row r="9">
      <x:c r="A9" t="str">
        <x:v>Net Sales</x:v>
      </x:c>
      <x:c r="B9" s="28" t="n">
        <x:f>SUMIFS('Sales Summary'!$H$5:$H$104,'Sales Summary'!$C$5:$C$104,$B$4)</x:f>
        <x:v>0</x:v>
      </x:c>
      <x:c r="D9" s="47"/>
      <x:c r="E9" s="47"/>
      <x:c r="F9" s="47"/>
      <x:c r="G9" s="47"/>
      <x:c r="H9" s="47"/>
    </x:row>
    <x:row r="10">
      <x:c r="A10" t="str">
        <x:v>Approved Purchases</x:v>
      </x:c>
      <x:c r="B10" s="28" t="n">
        <x:f>SUMIFS('Invoice Log'!$J$5:$J$104,'Invoice Log'!$C$5:$C$104,$B$4,'Invoice Log'!$K$5:$K$104,"Yes")</x:f>
        <x:v>0</x:v>
      </x:c>
      <x:c r="D10" s="47"/>
      <x:c r="E10" s="47"/>
      <x:c r="F10" s="47"/>
      <x:c r="G10" s="47"/>
      <x:c r="H10" s="47"/>
    </x:row>
    <x:row r="11">
      <x:c r="A11" t="str">
        <x:v>Purchases % of Sales</x:v>
      </x:c>
      <x:c r="B11" s="26" t="n">
        <x:f>IFERROR(B10/B9,0)</x:f>
        <x:v>0</x:v>
      </x:c>
      <x:c r="D11" s="47"/>
      <x:c r="E11" s="47"/>
      <x:c r="F11" s="47"/>
      <x:c r="G11" s="47"/>
      <x:c r="H11" s="47"/>
    </x:row>
    <x:row r="12">
      <x:c r="A12" t="str">
        <x:v>Sales Minus Purchases</x:v>
      </x:c>
      <x:c r="B12" s="28" t="n">
        <x:f>B9-B10</x:f>
        <x:v>0</x:v>
      </x:c>
      <x:c r="D12" s="47"/>
      <x:c r="E12" s="47"/>
      <x:c r="F12" s="47"/>
      <x:c r="G12" s="47"/>
      <x:c r="H12" s="47"/>
    </x:row>
    <x:row r="13">
      <x:c r="A13" t="str">
        <x:v>Estimated Purchase Margin</x:v>
      </x:c>
      <x:c r="B13" s="26" t="n">
        <x:f>IFERROR(B12/B9,0)</x:f>
        <x:v>0</x:v>
      </x:c>
      <x:c r="D13" s="47"/>
      <x:c r="E13" s="47"/>
      <x:c r="F13" s="47"/>
      <x:c r="G13" s="47"/>
      <x:c r="H13" s="47"/>
    </x:row>
    <x:row r="14">
      <x:c r="A14" t="str">
        <x:v>Invoice Count</x:v>
      </x:c>
      <x:c r="B14" t="n">
        <x:f>COUNTIFS('Invoice Log'!$C$5:$C$104,$B$4,'Invoice Log'!$K$5:$K$104,"Yes")</x:f>
        <x:v>0</x:v>
      </x:c>
      <x:c r="D14" s="47"/>
      <x:c r="E14" s="47"/>
      <x:c r="F14" s="47"/>
      <x:c r="G14" s="47"/>
      <x:c r="H14" s="47"/>
    </x:row>
    <x:row r="15">
      <x:c r="A15" t="str">
        <x:v>Average Invoice</x:v>
      </x:c>
      <x:c r="B15" s="28" t="n">
        <x:f>IFERROR(B10/B14,0)</x:f>
        <x:v>0</x:v>
      </x:c>
    </x:row>
    <x:row r="16">
      <x:c r="A16" t="str">
        <x:v>New Items</x:v>
      </x:c>
      <x:c r="B16" t="n">
        <x:f>COUNTIFS('Item Master'!$F$5:$F$104,"&gt;="&amp;DATEVALUE($B$4&amp;"-01"),'Item Master'!$F$5:$F$104,"&lt;"&amp;EDATE(DATEVALUE($B$4&amp;"-01"),1))</x:f>
        <x:v>0</x:v>
      </x:c>
    </x:row>
    <x:row r="17">
      <x:c r="A17" t="str">
        <x:v>Open Review Items</x:v>
      </x:c>
      <x:c r="B17" t="n">
        <x:f>COUNTIF('Review Queue'!$H$5:$H$104,"Open")</x:f>
        <x:v>0</x:v>
      </x:c>
    </x:row>
    <x:row r="19">
      <x:c r="A19" s="15" t="str">
        <x:v>Month</x:v>
      </x:c>
      <x:c r="B19" s="15" t="str">
        <x:v>Net Sales</x:v>
      </x:c>
      <x:c r="C19" s="15" t="str">
        <x:v>Approved Purchases</x:v>
      </x:c>
    </x:row>
    <x:row r="20">
      <x:c r="A20" s="50" t="str">
        <x:f>TEXT(DATE(Settings!$B$7,1,1),"yyyy-mm")</x:f>
        <x:v>2026-01</x:v>
      </x:c>
      <x:c r="B20" s="28" t="n">
        <x:f>SUMIFS('Sales Summary'!$H$5:$H$104,'Sales Summary'!$C$5:$C$104,A20)</x:f>
        <x:v>0</x:v>
      </x:c>
      <x:c r="C20" s="28" t="n">
        <x:f>SUMIFS('Invoice Log'!$J$5:$J$104,'Invoice Log'!$C$5:$C$104,A20,'Invoice Log'!$K$5:$K$104,"Yes")</x:f>
        <x:v>0</x:v>
      </x:c>
    </x:row>
    <x:row r="21">
      <x:c r="A21" s="50" t="str">
        <x:f>TEXT(DATE(Settings!$B$7,2,1),"yyyy-mm")</x:f>
        <x:v>2026-02</x:v>
      </x:c>
      <x:c r="B21" s="28" t="n">
        <x:f>SUMIFS('Sales Summary'!$H$5:$H$104,'Sales Summary'!$C$5:$C$104,A21)</x:f>
        <x:v>0</x:v>
      </x:c>
      <x:c r="C21" s="28" t="n">
        <x:f>SUMIFS('Invoice Log'!$J$5:$J$104,'Invoice Log'!$C$5:$C$104,A21,'Invoice Log'!$K$5:$K$104,"Yes")</x:f>
        <x:v>0</x:v>
      </x:c>
    </x:row>
    <x:row r="22">
      <x:c r="A22" s="50" t="str">
        <x:f>TEXT(DATE(Settings!$B$7,3,1),"yyyy-mm")</x:f>
        <x:v>2026-03</x:v>
      </x:c>
      <x:c r="B22" s="28" t="n">
        <x:f>SUMIFS('Sales Summary'!$H$5:$H$104,'Sales Summary'!$C$5:$C$104,A22)</x:f>
        <x:v>0</x:v>
      </x:c>
      <x:c r="C22" s="28" t="n">
        <x:f>SUMIFS('Invoice Log'!$J$5:$J$104,'Invoice Log'!$C$5:$C$104,A22,'Invoice Log'!$K$5:$K$104,"Yes")</x:f>
        <x:v>0</x:v>
      </x:c>
    </x:row>
    <x:row r="23">
      <x:c r="A23" s="50" t="str">
        <x:f>TEXT(DATE(Settings!$B$7,4,1),"yyyy-mm")</x:f>
        <x:v>2026-04</x:v>
      </x:c>
      <x:c r="B23" s="28" t="n">
        <x:f>SUMIFS('Sales Summary'!$H$5:$H$104,'Sales Summary'!$C$5:$C$104,A23)</x:f>
        <x:v>0</x:v>
      </x:c>
      <x:c r="C23" s="28" t="n">
        <x:f>SUMIFS('Invoice Log'!$J$5:$J$104,'Invoice Log'!$C$5:$C$104,A23,'Invoice Log'!$K$5:$K$104,"Yes")</x:f>
        <x:v>0</x:v>
      </x:c>
    </x:row>
    <x:row r="24">
      <x:c r="A24" s="50" t="str">
        <x:f>TEXT(DATE(Settings!$B$7,5,1),"yyyy-mm")</x:f>
        <x:v>2026-05</x:v>
      </x:c>
      <x:c r="B24" s="28" t="n">
        <x:f>SUMIFS('Sales Summary'!$H$5:$H$104,'Sales Summary'!$C$5:$C$104,A24)</x:f>
        <x:v>0</x:v>
      </x:c>
      <x:c r="C24" s="28" t="n">
        <x:f>SUMIFS('Invoice Log'!$J$5:$J$104,'Invoice Log'!$C$5:$C$104,A24,'Invoice Log'!$K$5:$K$104,"Yes")</x:f>
        <x:v>0</x:v>
      </x:c>
    </x:row>
    <x:row r="25">
      <x:c r="A25" s="50" t="str">
        <x:f>TEXT(DATE(Settings!$B$7,6,1),"yyyy-mm")</x:f>
        <x:v>2026-06</x:v>
      </x:c>
      <x:c r="B25" s="28" t="n">
        <x:f>SUMIFS('Sales Summary'!$H$5:$H$104,'Sales Summary'!$C$5:$C$104,A25)</x:f>
        <x:v>0</x:v>
      </x:c>
      <x:c r="C25" s="28" t="n">
        <x:f>SUMIFS('Invoice Log'!$J$5:$J$104,'Invoice Log'!$C$5:$C$104,A25,'Invoice Log'!$K$5:$K$104,"Yes")</x:f>
        <x:v>0</x:v>
      </x:c>
    </x:row>
    <x:row r="26">
      <x:c r="A26" s="50" t="str">
        <x:f>TEXT(DATE(Settings!$B$7,7,1),"yyyy-mm")</x:f>
        <x:v>2026-07</x:v>
      </x:c>
      <x:c r="B26" s="28" t="n">
        <x:f>SUMIFS('Sales Summary'!$H$5:$H$104,'Sales Summary'!$C$5:$C$104,A26)</x:f>
        <x:v>0</x:v>
      </x:c>
      <x:c r="C26" s="28" t="n">
        <x:f>SUMIFS('Invoice Log'!$J$5:$J$104,'Invoice Log'!$C$5:$C$104,A26,'Invoice Log'!$K$5:$K$104,"Yes")</x:f>
        <x:v>0</x:v>
      </x:c>
    </x:row>
    <x:row r="27">
      <x:c r="A27" s="50" t="str">
        <x:f>TEXT(DATE(Settings!$B$7,8,1),"yyyy-mm")</x:f>
        <x:v>2026-08</x:v>
      </x:c>
      <x:c r="B27" s="28" t="n">
        <x:f>SUMIFS('Sales Summary'!$H$5:$H$104,'Sales Summary'!$C$5:$C$104,A27)</x:f>
        <x:v>0</x:v>
      </x:c>
      <x:c r="C27" s="28" t="n">
        <x:f>SUMIFS('Invoice Log'!$J$5:$J$104,'Invoice Log'!$C$5:$C$104,A27,'Invoice Log'!$K$5:$K$104,"Yes")</x:f>
        <x:v>0</x:v>
      </x:c>
    </x:row>
    <x:row r="28">
      <x:c r="A28" s="50" t="str">
        <x:f>TEXT(DATE(Settings!$B$7,9,1),"yyyy-mm")</x:f>
        <x:v>2026-09</x:v>
      </x:c>
      <x:c r="B28" s="28" t="n">
        <x:f>SUMIFS('Sales Summary'!$H$5:$H$104,'Sales Summary'!$C$5:$C$104,A28)</x:f>
        <x:v>0</x:v>
      </x:c>
      <x:c r="C28" s="28" t="n">
        <x:f>SUMIFS('Invoice Log'!$J$5:$J$104,'Invoice Log'!$C$5:$C$104,A28,'Invoice Log'!$K$5:$K$104,"Yes")</x:f>
        <x:v>0</x:v>
      </x:c>
    </x:row>
    <x:row r="29">
      <x:c r="A29" s="50" t="str">
        <x:f>TEXT(DATE(Settings!$B$7,10,1),"yyyy-mm")</x:f>
        <x:v>2026-10</x:v>
      </x:c>
      <x:c r="B29" s="28" t="n">
        <x:f>SUMIFS('Sales Summary'!$H$5:$H$104,'Sales Summary'!$C$5:$C$104,A29)</x:f>
        <x:v>0</x:v>
      </x:c>
      <x:c r="C29" s="28" t="n">
        <x:f>SUMIFS('Invoice Log'!$J$5:$J$104,'Invoice Log'!$C$5:$C$104,A29,'Invoice Log'!$K$5:$K$104,"Yes")</x:f>
        <x:v>0</x:v>
      </x:c>
    </x:row>
    <x:row r="30">
      <x:c r="A30" s="50" t="str">
        <x:f>TEXT(DATE(Settings!$B$7,11,1),"yyyy-mm")</x:f>
        <x:v>2026-11</x:v>
      </x:c>
      <x:c r="B30" s="28" t="n">
        <x:f>SUMIFS('Sales Summary'!$H$5:$H$104,'Sales Summary'!$C$5:$C$104,A30)</x:f>
        <x:v>0</x:v>
      </x:c>
      <x:c r="C30" s="28" t="n">
        <x:f>SUMIFS('Invoice Log'!$J$5:$J$104,'Invoice Log'!$C$5:$C$104,A30,'Invoice Log'!$K$5:$K$104,"Yes")</x:f>
        <x:v>0</x:v>
      </x:c>
    </x:row>
    <x:row r="31">
      <x:c r="A31" s="50" t="str">
        <x:f>TEXT(DATE(Settings!$B$7,12,1),"yyyy-mm")</x:f>
        <x:v>2026-12</x:v>
      </x:c>
      <x:c r="B31" s="28" t="n">
        <x:f>SUMIFS('Sales Summary'!$H$5:$H$104,'Sales Summary'!$C$5:$C$104,A31)</x:f>
        <x:v>0</x:v>
      </x:c>
      <x:c r="C31" s="28" t="n">
        <x:f>SUMIFS('Invoice Log'!$J$5:$J$104,'Invoice Log'!$C$5:$C$104,A31,'Invoice Log'!$K$5:$K$104,"Yes")</x:f>
        <x:v>0</x:v>
      </x:c>
    </x:row>
  </x:sheetData>
  <x:mergeCells>
    <x:mergeCell ref="A1:H2"/>
    <x:mergeCell ref="A7:C7"/>
    <x:mergeCell ref="D7:H7"/>
    <x:mergeCell ref="D8:H14"/>
  </x:mergeCells>
  <x:pageMargins left="0.7" right="0.7" top="0.75" bottom="0.75" header="0.3" footer="0.3"/>
  <x:drawing xmlns:r="http://schemas.openxmlformats.org/officeDocument/2006/relationships" r:id="Re5a188f9b2cd41b5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11" hidden="0" customWidth="1"/>
    <x:col min="4" max="4" width="24" hidden="0" customWidth="1"/>
    <x:col min="5" max="5" width="18" hidden="0" customWidth="1"/>
    <x:col min="6" max="6" width="13" hidden="0" customWidth="1"/>
    <x:col min="7" max="7" width="11" hidden="0" customWidth="1"/>
    <x:col min="8" max="8" width="11" hidden="0" customWidth="1"/>
    <x:col min="9" max="9" width="11" hidden="0" customWidth="1"/>
    <x:col min="10" max="10" width="14" hidden="0" customWidth="1"/>
    <x:col min="11" max="11" width="12" hidden="0" customWidth="1"/>
    <x:col min="12" max="12" width="28" hidden="0" customWidth="1"/>
    <x:col min="13" max="13" width="36" hidden="0" customWidth="1"/>
  </x:cols>
  <x:sheetData>
    <x:row r="1">
      <x:c r="A1" s="4" t="str">
        <x:v>Invoice Log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4">
      <x:c r="A4" s="15" t="str">
        <x:v>Invoice ID</x:v>
      </x:c>
      <x:c r="B4" s="15" t="str">
        <x:v>Invoice Date</x:v>
      </x:c>
      <x:c r="C4" s="15" t="str">
        <x:v>Month</x:v>
      </x:c>
      <x:c r="D4" s="15" t="str">
        <x:v>Vendor</x:v>
      </x:c>
      <x:c r="E4" s="15" t="str">
        <x:v>Invoice Number</x:v>
      </x:c>
      <x:c r="F4" s="15" t="str">
        <x:v>Subtotal</x:v>
      </x:c>
      <x:c r="G4" s="15" t="str">
        <x:v>Fees</x:v>
      </x:c>
      <x:c r="H4" s="15" t="str">
        <x:v>Tax</x:v>
      </x:c>
      <x:c r="I4" s="15" t="str">
        <x:v>Credits</x:v>
      </x:c>
      <x:c r="J4" s="15" t="str">
        <x:v>Invoice Total</x:v>
      </x:c>
      <x:c r="K4" s="15" t="str">
        <x:v>Approved?</x:v>
      </x:c>
      <x:c r="L4" s="15" t="str">
        <x:v>Source Link</x:v>
      </x:c>
      <x:c r="M4" s="15" t="str">
        <x:v>Notes</x:v>
      </x:c>
    </x:row>
    <x:row r="5">
      <x:c r="A5" s="21"/>
      <x:c r="B5" s="30"/>
      <x:c r="C5" s="21" t="str">
        <x:f>IF(B5="","",TEXT(B5,"yyyy-mm"))</x:f>
      </x:c>
      <x:c r="D5" s="21"/>
      <x:c r="E5" s="21"/>
      <x:c r="F5" s="32"/>
      <x:c r="G5" s="32"/>
      <x:c r="H5" s="32"/>
      <x:c r="I5" s="32"/>
      <x:c r="J5" s="32"/>
      <x:c r="K5" s="21"/>
      <x:c r="L5" s="21"/>
      <x:c r="M5" s="21"/>
    </x:row>
    <x:row r="6">
      <x:c r="A6" s="21"/>
      <x:c r="B6" s="30"/>
      <x:c r="C6" s="21" t="str">
        <x:f>IF(B6="","",TEXT(B6,"yyyy-mm"))</x:f>
      </x:c>
      <x:c r="D6" s="21"/>
      <x:c r="E6" s="21"/>
      <x:c r="F6" s="32"/>
      <x:c r="G6" s="32"/>
      <x:c r="H6" s="32"/>
      <x:c r="I6" s="32"/>
      <x:c r="J6" s="32"/>
      <x:c r="K6" s="21"/>
      <x:c r="L6" s="21"/>
      <x:c r="M6" s="21"/>
    </x:row>
    <x:row r="7">
      <x:c r="A7" s="21"/>
      <x:c r="B7" s="30"/>
      <x:c r="C7" s="21" t="str">
        <x:f>IF(B7="","",TEXT(B7,"yyyy-mm"))</x:f>
      </x:c>
      <x:c r="D7" s="21"/>
      <x:c r="E7" s="21"/>
      <x:c r="F7" s="32"/>
      <x:c r="G7" s="32"/>
      <x:c r="H7" s="32"/>
      <x:c r="I7" s="32"/>
      <x:c r="J7" s="32"/>
      <x:c r="K7" s="21"/>
      <x:c r="L7" s="21"/>
      <x:c r="M7" s="21"/>
    </x:row>
    <x:row r="8">
      <x:c r="A8" s="21"/>
      <x:c r="B8" s="30"/>
      <x:c r="C8" s="21" t="str">
        <x:f>IF(B8="","",TEXT(B8,"yyyy-mm"))</x:f>
      </x:c>
      <x:c r="D8" s="21"/>
      <x:c r="E8" s="21"/>
      <x:c r="F8" s="32"/>
      <x:c r="G8" s="32"/>
      <x:c r="H8" s="32"/>
      <x:c r="I8" s="32"/>
      <x:c r="J8" s="32"/>
      <x:c r="K8" s="21"/>
      <x:c r="L8" s="21"/>
      <x:c r="M8" s="21"/>
    </x:row>
    <x:row r="9">
      <x:c r="A9" s="21"/>
      <x:c r="B9" s="30"/>
      <x:c r="C9" s="21" t="str">
        <x:f>IF(B9="","",TEXT(B9,"yyyy-mm"))</x:f>
      </x:c>
      <x:c r="D9" s="21"/>
      <x:c r="E9" s="21"/>
      <x:c r="F9" s="32"/>
      <x:c r="G9" s="32"/>
      <x:c r="H9" s="32"/>
      <x:c r="I9" s="32"/>
      <x:c r="J9" s="32"/>
      <x:c r="K9" s="21"/>
      <x:c r="L9" s="21"/>
      <x:c r="M9" s="21"/>
    </x:row>
    <x:row r="10">
      <x:c r="A10" s="21"/>
      <x:c r="B10" s="30"/>
      <x:c r="C10" s="21" t="str">
        <x:f>IF(B10="","",TEXT(B10,"yyyy-mm"))</x:f>
      </x:c>
      <x:c r="D10" s="21"/>
      <x:c r="E10" s="21"/>
      <x:c r="F10" s="32"/>
      <x:c r="G10" s="32"/>
      <x:c r="H10" s="32"/>
      <x:c r="I10" s="32"/>
      <x:c r="J10" s="32"/>
      <x:c r="K10" s="21"/>
      <x:c r="L10" s="21"/>
      <x:c r="M10" s="21"/>
    </x:row>
    <x:row r="11">
      <x:c r="A11" s="21"/>
      <x:c r="B11" s="30"/>
      <x:c r="C11" s="21" t="str">
        <x:f>IF(B11="","",TEXT(B11,"yyyy-mm"))</x:f>
      </x:c>
      <x:c r="D11" s="21"/>
      <x:c r="E11" s="21"/>
      <x:c r="F11" s="32"/>
      <x:c r="G11" s="32"/>
      <x:c r="H11" s="32"/>
      <x:c r="I11" s="32"/>
      <x:c r="J11" s="32"/>
      <x:c r="K11" s="21"/>
      <x:c r="L11" s="21"/>
      <x:c r="M11" s="21"/>
    </x:row>
    <x:row r="12">
      <x:c r="A12" s="21"/>
      <x:c r="B12" s="30"/>
      <x:c r="C12" s="21" t="str">
        <x:f>IF(B12="","",TEXT(B12,"yyyy-mm"))</x:f>
      </x:c>
      <x:c r="D12" s="21"/>
      <x:c r="E12" s="21"/>
      <x:c r="F12" s="32"/>
      <x:c r="G12" s="32"/>
      <x:c r="H12" s="32"/>
      <x:c r="I12" s="32"/>
      <x:c r="J12" s="32"/>
      <x:c r="K12" s="21"/>
      <x:c r="L12" s="21"/>
      <x:c r="M12" s="21"/>
    </x:row>
    <x:row r="13">
      <x:c r="A13" s="21"/>
      <x:c r="B13" s="30"/>
      <x:c r="C13" s="21" t="str">
        <x:f>IF(B13="","",TEXT(B13,"yyyy-mm"))</x:f>
      </x:c>
      <x:c r="D13" s="21"/>
      <x:c r="E13" s="21"/>
      <x:c r="F13" s="32"/>
      <x:c r="G13" s="32"/>
      <x:c r="H13" s="32"/>
      <x:c r="I13" s="32"/>
      <x:c r="J13" s="32"/>
      <x:c r="K13" s="21"/>
      <x:c r="L13" s="21"/>
      <x:c r="M13" s="21"/>
    </x:row>
    <x:row r="14">
      <x:c r="A14" s="21"/>
      <x:c r="B14" s="30"/>
      <x:c r="C14" s="21" t="str">
        <x:f>IF(B14="","",TEXT(B14,"yyyy-mm"))</x:f>
      </x:c>
      <x:c r="D14" s="21"/>
      <x:c r="E14" s="21"/>
      <x:c r="F14" s="32"/>
      <x:c r="G14" s="32"/>
      <x:c r="H14" s="32"/>
      <x:c r="I14" s="32"/>
      <x:c r="J14" s="32"/>
      <x:c r="K14" s="21"/>
      <x:c r="L14" s="21"/>
      <x:c r="M14" s="21"/>
    </x:row>
    <x:row r="15">
      <x:c r="A15" s="21"/>
      <x:c r="B15" s="30"/>
      <x:c r="C15" s="21" t="str">
        <x:f>IF(B15="","",TEXT(B15,"yyyy-mm"))</x:f>
      </x:c>
      <x:c r="D15" s="21"/>
      <x:c r="E15" s="21"/>
      <x:c r="F15" s="32"/>
      <x:c r="G15" s="32"/>
      <x:c r="H15" s="32"/>
      <x:c r="I15" s="32"/>
      <x:c r="J15" s="32"/>
      <x:c r="K15" s="21"/>
      <x:c r="L15" s="21"/>
      <x:c r="M15" s="21"/>
    </x:row>
    <x:row r="16">
      <x:c r="A16" s="21"/>
      <x:c r="B16" s="30"/>
      <x:c r="C16" s="21" t="str">
        <x:f>IF(B16="","",TEXT(B16,"yyyy-mm"))</x:f>
      </x:c>
      <x:c r="D16" s="21"/>
      <x:c r="E16" s="21"/>
      <x:c r="F16" s="32"/>
      <x:c r="G16" s="32"/>
      <x:c r="H16" s="32"/>
      <x:c r="I16" s="32"/>
      <x:c r="J16" s="32"/>
      <x:c r="K16" s="21"/>
      <x:c r="L16" s="21"/>
      <x:c r="M16" s="21"/>
    </x:row>
    <x:row r="17">
      <x:c r="A17" s="21"/>
      <x:c r="B17" s="30"/>
      <x:c r="C17" s="21" t="str">
        <x:f>IF(B17="","",TEXT(B17,"yyyy-mm"))</x:f>
      </x:c>
      <x:c r="D17" s="21"/>
      <x:c r="E17" s="21"/>
      <x:c r="F17" s="32"/>
      <x:c r="G17" s="32"/>
      <x:c r="H17" s="32"/>
      <x:c r="I17" s="32"/>
      <x:c r="J17" s="32"/>
      <x:c r="K17" s="21"/>
      <x:c r="L17" s="21"/>
      <x:c r="M17" s="21"/>
    </x:row>
    <x:row r="18">
      <x:c r="A18" s="21"/>
      <x:c r="B18" s="30"/>
      <x:c r="C18" s="21" t="str">
        <x:f>IF(B18="","",TEXT(B18,"yyyy-mm"))</x:f>
      </x:c>
      <x:c r="D18" s="21"/>
      <x:c r="E18" s="21"/>
      <x:c r="F18" s="32"/>
      <x:c r="G18" s="32"/>
      <x:c r="H18" s="32"/>
      <x:c r="I18" s="32"/>
      <x:c r="J18" s="32"/>
      <x:c r="K18" s="21"/>
      <x:c r="L18" s="21"/>
      <x:c r="M18" s="21"/>
    </x:row>
    <x:row r="19">
      <x:c r="A19" s="21"/>
      <x:c r="B19" s="30"/>
      <x:c r="C19" s="21" t="str">
        <x:f>IF(B19="","",TEXT(B19,"yyyy-mm"))</x:f>
      </x:c>
      <x:c r="D19" s="21"/>
      <x:c r="E19" s="21"/>
      <x:c r="F19" s="32"/>
      <x:c r="G19" s="32"/>
      <x:c r="H19" s="32"/>
      <x:c r="I19" s="32"/>
      <x:c r="J19" s="32"/>
      <x:c r="K19" s="21"/>
      <x:c r="L19" s="21"/>
      <x:c r="M19" s="21"/>
    </x:row>
    <x:row r="20">
      <x:c r="A20" s="21"/>
      <x:c r="B20" s="30"/>
      <x:c r="C20" s="21" t="str">
        <x:f>IF(B20="","",TEXT(B20,"yyyy-mm"))</x:f>
      </x:c>
      <x:c r="D20" s="21"/>
      <x:c r="E20" s="21"/>
      <x:c r="F20" s="32"/>
      <x:c r="G20" s="32"/>
      <x:c r="H20" s="32"/>
      <x:c r="I20" s="32"/>
      <x:c r="J20" s="32"/>
      <x:c r="K20" s="21"/>
      <x:c r="L20" s="21"/>
      <x:c r="M20" s="21"/>
    </x:row>
    <x:row r="21">
      <x:c r="A21" s="21"/>
      <x:c r="B21" s="30"/>
      <x:c r="C21" s="21" t="str">
        <x:f>IF(B21="","",TEXT(B21,"yyyy-mm"))</x:f>
      </x:c>
      <x:c r="D21" s="21"/>
      <x:c r="E21" s="21"/>
      <x:c r="F21" s="32"/>
      <x:c r="G21" s="32"/>
      <x:c r="H21" s="32"/>
      <x:c r="I21" s="32"/>
      <x:c r="J21" s="32"/>
      <x:c r="K21" s="21"/>
      <x:c r="L21" s="21"/>
      <x:c r="M21" s="21"/>
    </x:row>
    <x:row r="22">
      <x:c r="A22" s="21"/>
      <x:c r="B22" s="30"/>
      <x:c r="C22" s="21" t="str">
        <x:f>IF(B22="","",TEXT(B22,"yyyy-mm"))</x:f>
      </x:c>
      <x:c r="D22" s="21"/>
      <x:c r="E22" s="21"/>
      <x:c r="F22" s="32"/>
      <x:c r="G22" s="32"/>
      <x:c r="H22" s="32"/>
      <x:c r="I22" s="32"/>
      <x:c r="J22" s="32"/>
      <x:c r="K22" s="21"/>
      <x:c r="L22" s="21"/>
      <x:c r="M22" s="21"/>
    </x:row>
    <x:row r="23">
      <x:c r="A23" s="21"/>
      <x:c r="B23" s="30"/>
      <x:c r="C23" s="21" t="str">
        <x:f>IF(B23="","",TEXT(B23,"yyyy-mm"))</x:f>
      </x:c>
      <x:c r="D23" s="21"/>
      <x:c r="E23" s="21"/>
      <x:c r="F23" s="32"/>
      <x:c r="G23" s="32"/>
      <x:c r="H23" s="32"/>
      <x:c r="I23" s="32"/>
      <x:c r="J23" s="32"/>
      <x:c r="K23" s="21"/>
      <x:c r="L23" s="21"/>
      <x:c r="M23" s="21"/>
    </x:row>
    <x:row r="24">
      <x:c r="A24" s="21"/>
      <x:c r="B24" s="30"/>
      <x:c r="C24" s="21" t="str">
        <x:f>IF(B24="","",TEXT(B24,"yyyy-mm"))</x:f>
      </x:c>
      <x:c r="D24" s="21"/>
      <x:c r="E24" s="21"/>
      <x:c r="F24" s="32"/>
      <x:c r="G24" s="32"/>
      <x:c r="H24" s="32"/>
      <x:c r="I24" s="32"/>
      <x:c r="J24" s="32"/>
      <x:c r="K24" s="21"/>
      <x:c r="L24" s="21"/>
      <x:c r="M24" s="21"/>
    </x:row>
    <x:row r="25">
      <x:c r="A25" s="21"/>
      <x:c r="B25" s="30"/>
      <x:c r="C25" s="21" t="str">
        <x:f>IF(B25="","",TEXT(B25,"yyyy-mm"))</x:f>
      </x:c>
      <x:c r="D25" s="21"/>
      <x:c r="E25" s="21"/>
      <x:c r="F25" s="32"/>
      <x:c r="G25" s="32"/>
      <x:c r="H25" s="32"/>
      <x:c r="I25" s="32"/>
      <x:c r="J25" s="32"/>
      <x:c r="K25" s="21"/>
      <x:c r="L25" s="21"/>
      <x:c r="M25" s="21"/>
    </x:row>
    <x:row r="26">
      <x:c r="A26" s="21"/>
      <x:c r="B26" s="30"/>
      <x:c r="C26" s="21" t="str">
        <x:f>IF(B26="","",TEXT(B26,"yyyy-mm"))</x:f>
      </x:c>
      <x:c r="D26" s="21"/>
      <x:c r="E26" s="21"/>
      <x:c r="F26" s="32"/>
      <x:c r="G26" s="32"/>
      <x:c r="H26" s="32"/>
      <x:c r="I26" s="32"/>
      <x:c r="J26" s="32"/>
      <x:c r="K26" s="21"/>
      <x:c r="L26" s="21"/>
      <x:c r="M26" s="21"/>
    </x:row>
    <x:row r="27">
      <x:c r="A27" s="21"/>
      <x:c r="B27" s="30"/>
      <x:c r="C27" s="21" t="str">
        <x:f>IF(B27="","",TEXT(B27,"yyyy-mm"))</x:f>
      </x:c>
      <x:c r="D27" s="21"/>
      <x:c r="E27" s="21"/>
      <x:c r="F27" s="32"/>
      <x:c r="G27" s="32"/>
      <x:c r="H27" s="32"/>
      <x:c r="I27" s="32"/>
      <x:c r="J27" s="32"/>
      <x:c r="K27" s="21"/>
      <x:c r="L27" s="21"/>
      <x:c r="M27" s="21"/>
    </x:row>
    <x:row r="28">
      <x:c r="A28" s="21"/>
      <x:c r="B28" s="30"/>
      <x:c r="C28" s="21" t="str">
        <x:f>IF(B28="","",TEXT(B28,"yyyy-mm"))</x:f>
      </x:c>
      <x:c r="D28" s="21"/>
      <x:c r="E28" s="21"/>
      <x:c r="F28" s="32"/>
      <x:c r="G28" s="32"/>
      <x:c r="H28" s="32"/>
      <x:c r="I28" s="32"/>
      <x:c r="J28" s="32"/>
      <x:c r="K28" s="21"/>
      <x:c r="L28" s="21"/>
      <x:c r="M28" s="21"/>
    </x:row>
    <x:row r="29">
      <x:c r="A29" s="21"/>
      <x:c r="B29" s="30"/>
      <x:c r="C29" s="21" t="str">
        <x:f>IF(B29="","",TEXT(B29,"yyyy-mm"))</x:f>
      </x:c>
      <x:c r="D29" s="21"/>
      <x:c r="E29" s="21"/>
      <x:c r="F29" s="32"/>
      <x:c r="G29" s="32"/>
      <x:c r="H29" s="32"/>
      <x:c r="I29" s="32"/>
      <x:c r="J29" s="32"/>
      <x:c r="K29" s="21"/>
      <x:c r="L29" s="21"/>
      <x:c r="M29" s="21"/>
    </x:row>
    <x:row r="30">
      <x:c r="A30" s="21"/>
      <x:c r="B30" s="30"/>
      <x:c r="C30" s="21" t="str">
        <x:f>IF(B30="","",TEXT(B30,"yyyy-mm"))</x:f>
      </x:c>
      <x:c r="D30" s="21"/>
      <x:c r="E30" s="21"/>
      <x:c r="F30" s="32"/>
      <x:c r="G30" s="32"/>
      <x:c r="H30" s="32"/>
      <x:c r="I30" s="32"/>
      <x:c r="J30" s="32"/>
      <x:c r="K30" s="21"/>
      <x:c r="L30" s="21"/>
      <x:c r="M30" s="21"/>
    </x:row>
    <x:row r="31">
      <x:c r="A31" s="21"/>
      <x:c r="B31" s="30"/>
      <x:c r="C31" s="21" t="str">
        <x:f>IF(B31="","",TEXT(B31,"yyyy-mm"))</x:f>
      </x:c>
      <x:c r="D31" s="21"/>
      <x:c r="E31" s="21"/>
      <x:c r="F31" s="32"/>
      <x:c r="G31" s="32"/>
      <x:c r="H31" s="32"/>
      <x:c r="I31" s="32"/>
      <x:c r="J31" s="32"/>
      <x:c r="K31" s="21"/>
      <x:c r="L31" s="21"/>
      <x:c r="M31" s="21"/>
    </x:row>
    <x:row r="32">
      <x:c r="A32" s="21"/>
      <x:c r="B32" s="30"/>
      <x:c r="C32" s="21" t="str">
        <x:f>IF(B32="","",TEXT(B32,"yyyy-mm"))</x:f>
      </x:c>
      <x:c r="D32" s="21"/>
      <x:c r="E32" s="21"/>
      <x:c r="F32" s="32"/>
      <x:c r="G32" s="32"/>
      <x:c r="H32" s="32"/>
      <x:c r="I32" s="32"/>
      <x:c r="J32" s="32"/>
      <x:c r="K32" s="21"/>
      <x:c r="L32" s="21"/>
      <x:c r="M32" s="21"/>
    </x:row>
    <x:row r="33">
      <x:c r="A33" s="21"/>
      <x:c r="B33" s="30"/>
      <x:c r="C33" s="21" t="str">
        <x:f>IF(B33="","",TEXT(B33,"yyyy-mm"))</x:f>
      </x:c>
      <x:c r="D33" s="21"/>
      <x:c r="E33" s="21"/>
      <x:c r="F33" s="32"/>
      <x:c r="G33" s="32"/>
      <x:c r="H33" s="32"/>
      <x:c r="I33" s="32"/>
      <x:c r="J33" s="32"/>
      <x:c r="K33" s="21"/>
      <x:c r="L33" s="21"/>
      <x:c r="M33" s="21"/>
    </x:row>
    <x:row r="34">
      <x:c r="A34" s="21"/>
      <x:c r="B34" s="30"/>
      <x:c r="C34" s="21" t="str">
        <x:f>IF(B34="","",TEXT(B34,"yyyy-mm"))</x:f>
      </x:c>
      <x:c r="D34" s="21"/>
      <x:c r="E34" s="21"/>
      <x:c r="F34" s="32"/>
      <x:c r="G34" s="32"/>
      <x:c r="H34" s="32"/>
      <x:c r="I34" s="32"/>
      <x:c r="J34" s="32"/>
      <x:c r="K34" s="21"/>
      <x:c r="L34" s="21"/>
      <x:c r="M34" s="21"/>
    </x:row>
    <x:row r="35">
      <x:c r="A35" s="21"/>
      <x:c r="B35" s="30"/>
      <x:c r="C35" s="21" t="str">
        <x:f>IF(B35="","",TEXT(B35,"yyyy-mm"))</x:f>
      </x:c>
      <x:c r="D35" s="21"/>
      <x:c r="E35" s="21"/>
      <x:c r="F35" s="32"/>
      <x:c r="G35" s="32"/>
      <x:c r="H35" s="32"/>
      <x:c r="I35" s="32"/>
      <x:c r="J35" s="32"/>
      <x:c r="K35" s="21"/>
      <x:c r="L35" s="21"/>
      <x:c r="M35" s="21"/>
    </x:row>
    <x:row r="36">
      <x:c r="A36" s="21"/>
      <x:c r="B36" s="30"/>
      <x:c r="C36" s="21" t="str">
        <x:f>IF(B36="","",TEXT(B36,"yyyy-mm"))</x:f>
      </x:c>
      <x:c r="D36" s="21"/>
      <x:c r="E36" s="21"/>
      <x:c r="F36" s="32"/>
      <x:c r="G36" s="32"/>
      <x:c r="H36" s="32"/>
      <x:c r="I36" s="32"/>
      <x:c r="J36" s="32"/>
      <x:c r="K36" s="21"/>
      <x:c r="L36" s="21"/>
      <x:c r="M36" s="21"/>
    </x:row>
    <x:row r="37">
      <x:c r="A37" s="21"/>
      <x:c r="B37" s="30"/>
      <x:c r="C37" s="21" t="str">
        <x:f>IF(B37="","",TEXT(B37,"yyyy-mm"))</x:f>
      </x:c>
      <x:c r="D37" s="21"/>
      <x:c r="E37" s="21"/>
      <x:c r="F37" s="32"/>
      <x:c r="G37" s="32"/>
      <x:c r="H37" s="32"/>
      <x:c r="I37" s="32"/>
      <x:c r="J37" s="32"/>
      <x:c r="K37" s="21"/>
      <x:c r="L37" s="21"/>
      <x:c r="M37" s="21"/>
    </x:row>
    <x:row r="38">
      <x:c r="A38" s="21"/>
      <x:c r="B38" s="30"/>
      <x:c r="C38" s="21" t="str">
        <x:f>IF(B38="","",TEXT(B38,"yyyy-mm"))</x:f>
      </x:c>
      <x:c r="D38" s="21"/>
      <x:c r="E38" s="21"/>
      <x:c r="F38" s="32"/>
      <x:c r="G38" s="32"/>
      <x:c r="H38" s="32"/>
      <x:c r="I38" s="32"/>
      <x:c r="J38" s="32"/>
      <x:c r="K38" s="21"/>
      <x:c r="L38" s="21"/>
      <x:c r="M38" s="21"/>
    </x:row>
    <x:row r="39">
      <x:c r="A39" s="21"/>
      <x:c r="B39" s="30"/>
      <x:c r="C39" s="21" t="str">
        <x:f>IF(B39="","",TEXT(B39,"yyyy-mm"))</x:f>
      </x:c>
      <x:c r="D39" s="21"/>
      <x:c r="E39" s="21"/>
      <x:c r="F39" s="32"/>
      <x:c r="G39" s="32"/>
      <x:c r="H39" s="32"/>
      <x:c r="I39" s="32"/>
      <x:c r="J39" s="32"/>
      <x:c r="K39" s="21"/>
      <x:c r="L39" s="21"/>
      <x:c r="M39" s="21"/>
    </x:row>
    <x:row r="40">
      <x:c r="A40" s="21"/>
      <x:c r="B40" s="30"/>
      <x:c r="C40" s="21" t="str">
        <x:f>IF(B40="","",TEXT(B40,"yyyy-mm"))</x:f>
      </x:c>
      <x:c r="D40" s="21"/>
      <x:c r="E40" s="21"/>
      <x:c r="F40" s="32"/>
      <x:c r="G40" s="32"/>
      <x:c r="H40" s="32"/>
      <x:c r="I40" s="32"/>
      <x:c r="J40" s="32"/>
      <x:c r="K40" s="21"/>
      <x:c r="L40" s="21"/>
      <x:c r="M40" s="21"/>
    </x:row>
    <x:row r="41">
      <x:c r="A41" s="21"/>
      <x:c r="B41" s="30"/>
      <x:c r="C41" s="21" t="str">
        <x:f>IF(B41="","",TEXT(B41,"yyyy-mm"))</x:f>
      </x:c>
      <x:c r="D41" s="21"/>
      <x:c r="E41" s="21"/>
      <x:c r="F41" s="32"/>
      <x:c r="G41" s="32"/>
      <x:c r="H41" s="32"/>
      <x:c r="I41" s="32"/>
      <x:c r="J41" s="32"/>
      <x:c r="K41" s="21"/>
      <x:c r="L41" s="21"/>
      <x:c r="M41" s="21"/>
    </x:row>
    <x:row r="42">
      <x:c r="A42" s="21"/>
      <x:c r="B42" s="30"/>
      <x:c r="C42" s="21" t="str">
        <x:f>IF(B42="","",TEXT(B42,"yyyy-mm"))</x:f>
      </x:c>
      <x:c r="D42" s="21"/>
      <x:c r="E42" s="21"/>
      <x:c r="F42" s="32"/>
      <x:c r="G42" s="32"/>
      <x:c r="H42" s="32"/>
      <x:c r="I42" s="32"/>
      <x:c r="J42" s="32"/>
      <x:c r="K42" s="21"/>
      <x:c r="L42" s="21"/>
      <x:c r="M42" s="21"/>
    </x:row>
    <x:row r="43">
      <x:c r="A43" s="21"/>
      <x:c r="B43" s="30"/>
      <x:c r="C43" s="21" t="str">
        <x:f>IF(B43="","",TEXT(B43,"yyyy-mm"))</x:f>
      </x:c>
      <x:c r="D43" s="21"/>
      <x:c r="E43" s="21"/>
      <x:c r="F43" s="32"/>
      <x:c r="G43" s="32"/>
      <x:c r="H43" s="32"/>
      <x:c r="I43" s="32"/>
      <x:c r="J43" s="32"/>
      <x:c r="K43" s="21"/>
      <x:c r="L43" s="21"/>
      <x:c r="M43" s="21"/>
    </x:row>
    <x:row r="44">
      <x:c r="A44" s="21"/>
      <x:c r="B44" s="30"/>
      <x:c r="C44" s="21" t="str">
        <x:f>IF(B44="","",TEXT(B44,"yyyy-mm"))</x:f>
      </x:c>
      <x:c r="D44" s="21"/>
      <x:c r="E44" s="21"/>
      <x:c r="F44" s="32"/>
      <x:c r="G44" s="32"/>
      <x:c r="H44" s="32"/>
      <x:c r="I44" s="32"/>
      <x:c r="J44" s="32"/>
      <x:c r="K44" s="21"/>
      <x:c r="L44" s="21"/>
      <x:c r="M44" s="21"/>
    </x:row>
    <x:row r="45">
      <x:c r="A45" s="21"/>
      <x:c r="B45" s="30"/>
      <x:c r="C45" s="21" t="str">
        <x:f>IF(B45="","",TEXT(B45,"yyyy-mm"))</x:f>
      </x:c>
      <x:c r="D45" s="21"/>
      <x:c r="E45" s="21"/>
      <x:c r="F45" s="32"/>
      <x:c r="G45" s="32"/>
      <x:c r="H45" s="32"/>
      <x:c r="I45" s="32"/>
      <x:c r="J45" s="32"/>
      <x:c r="K45" s="21"/>
      <x:c r="L45" s="21"/>
      <x:c r="M45" s="21"/>
    </x:row>
    <x:row r="46">
      <x:c r="A46" s="21"/>
      <x:c r="B46" s="30"/>
      <x:c r="C46" s="21" t="str">
        <x:f>IF(B46="","",TEXT(B46,"yyyy-mm"))</x:f>
      </x:c>
      <x:c r="D46" s="21"/>
      <x:c r="E46" s="21"/>
      <x:c r="F46" s="32"/>
      <x:c r="G46" s="32"/>
      <x:c r="H46" s="32"/>
      <x:c r="I46" s="32"/>
      <x:c r="J46" s="32"/>
      <x:c r="K46" s="21"/>
      <x:c r="L46" s="21"/>
      <x:c r="M46" s="21"/>
    </x:row>
    <x:row r="47">
      <x:c r="A47" s="21"/>
      <x:c r="B47" s="30"/>
      <x:c r="C47" s="21" t="str">
        <x:f>IF(B47="","",TEXT(B47,"yyyy-mm"))</x:f>
      </x:c>
      <x:c r="D47" s="21"/>
      <x:c r="E47" s="21"/>
      <x:c r="F47" s="32"/>
      <x:c r="G47" s="32"/>
      <x:c r="H47" s="32"/>
      <x:c r="I47" s="32"/>
      <x:c r="J47" s="32"/>
      <x:c r="K47" s="21"/>
      <x:c r="L47" s="21"/>
      <x:c r="M47" s="21"/>
    </x:row>
    <x:row r="48">
      <x:c r="A48" s="21"/>
      <x:c r="B48" s="30"/>
      <x:c r="C48" s="21" t="str">
        <x:f>IF(B48="","",TEXT(B48,"yyyy-mm"))</x:f>
      </x:c>
      <x:c r="D48" s="21"/>
      <x:c r="E48" s="21"/>
      <x:c r="F48" s="32"/>
      <x:c r="G48" s="32"/>
      <x:c r="H48" s="32"/>
      <x:c r="I48" s="32"/>
      <x:c r="J48" s="32"/>
      <x:c r="K48" s="21"/>
      <x:c r="L48" s="21"/>
      <x:c r="M48" s="21"/>
    </x:row>
    <x:row r="49">
      <x:c r="A49" s="21"/>
      <x:c r="B49" s="30"/>
      <x:c r="C49" s="21" t="str">
        <x:f>IF(B49="","",TEXT(B49,"yyyy-mm"))</x:f>
      </x:c>
      <x:c r="D49" s="21"/>
      <x:c r="E49" s="21"/>
      <x:c r="F49" s="32"/>
      <x:c r="G49" s="32"/>
      <x:c r="H49" s="32"/>
      <x:c r="I49" s="32"/>
      <x:c r="J49" s="32"/>
      <x:c r="K49" s="21"/>
      <x:c r="L49" s="21"/>
      <x:c r="M49" s="21"/>
    </x:row>
    <x:row r="50">
      <x:c r="A50" s="21"/>
      <x:c r="B50" s="30"/>
      <x:c r="C50" s="21" t="str">
        <x:f>IF(B50="","",TEXT(B50,"yyyy-mm"))</x:f>
      </x:c>
      <x:c r="D50" s="21"/>
      <x:c r="E50" s="21"/>
      <x:c r="F50" s="32"/>
      <x:c r="G50" s="32"/>
      <x:c r="H50" s="32"/>
      <x:c r="I50" s="32"/>
      <x:c r="J50" s="32"/>
      <x:c r="K50" s="21"/>
      <x:c r="L50" s="21"/>
      <x:c r="M50" s="21"/>
    </x:row>
    <x:row r="51">
      <x:c r="A51" s="21"/>
      <x:c r="B51" s="30"/>
      <x:c r="C51" s="21" t="str">
        <x:f>IF(B51="","",TEXT(B51,"yyyy-mm"))</x:f>
      </x:c>
      <x:c r="D51" s="21"/>
      <x:c r="E51" s="21"/>
      <x:c r="F51" s="32"/>
      <x:c r="G51" s="32"/>
      <x:c r="H51" s="32"/>
      <x:c r="I51" s="32"/>
      <x:c r="J51" s="32"/>
      <x:c r="K51" s="21"/>
      <x:c r="L51" s="21"/>
      <x:c r="M51" s="21"/>
    </x:row>
    <x:row r="52">
      <x:c r="A52" s="21"/>
      <x:c r="B52" s="30"/>
      <x:c r="C52" s="21" t="str">
        <x:f>IF(B52="","",TEXT(B52,"yyyy-mm"))</x:f>
      </x:c>
      <x:c r="D52" s="21"/>
      <x:c r="E52" s="21"/>
      <x:c r="F52" s="32"/>
      <x:c r="G52" s="32"/>
      <x:c r="H52" s="32"/>
      <x:c r="I52" s="32"/>
      <x:c r="J52" s="32"/>
      <x:c r="K52" s="21"/>
      <x:c r="L52" s="21"/>
      <x:c r="M52" s="21"/>
    </x:row>
    <x:row r="53">
      <x:c r="A53" s="21"/>
      <x:c r="B53" s="30"/>
      <x:c r="C53" s="21" t="str">
        <x:f>IF(B53="","",TEXT(B53,"yyyy-mm"))</x:f>
      </x:c>
      <x:c r="D53" s="21"/>
      <x:c r="E53" s="21"/>
      <x:c r="F53" s="32"/>
      <x:c r="G53" s="32"/>
      <x:c r="H53" s="32"/>
      <x:c r="I53" s="32"/>
      <x:c r="J53" s="32"/>
      <x:c r="K53" s="21"/>
      <x:c r="L53" s="21"/>
      <x:c r="M53" s="21"/>
    </x:row>
    <x:row r="54">
      <x:c r="A54" s="21"/>
      <x:c r="B54" s="30"/>
      <x:c r="C54" s="21" t="str">
        <x:f>IF(B54="","",TEXT(B54,"yyyy-mm"))</x:f>
      </x:c>
      <x:c r="D54" s="21"/>
      <x:c r="E54" s="21"/>
      <x:c r="F54" s="32"/>
      <x:c r="G54" s="32"/>
      <x:c r="H54" s="32"/>
      <x:c r="I54" s="32"/>
      <x:c r="J54" s="32"/>
      <x:c r="K54" s="21"/>
      <x:c r="L54" s="21"/>
      <x:c r="M54" s="21"/>
    </x:row>
    <x:row r="55">
      <x:c r="A55" s="21"/>
      <x:c r="B55" s="30"/>
      <x:c r="C55" s="21" t="str">
        <x:f>IF(B55="","",TEXT(B55,"yyyy-mm"))</x:f>
      </x:c>
      <x:c r="D55" s="21"/>
      <x:c r="E55" s="21"/>
      <x:c r="F55" s="32"/>
      <x:c r="G55" s="32"/>
      <x:c r="H55" s="32"/>
      <x:c r="I55" s="32"/>
      <x:c r="J55" s="32"/>
      <x:c r="K55" s="21"/>
      <x:c r="L55" s="21"/>
      <x:c r="M55" s="21"/>
    </x:row>
    <x:row r="56">
      <x:c r="A56" s="21"/>
      <x:c r="B56" s="30"/>
      <x:c r="C56" s="21" t="str">
        <x:f>IF(B56="","",TEXT(B56,"yyyy-mm"))</x:f>
      </x:c>
      <x:c r="D56" s="21"/>
      <x:c r="E56" s="21"/>
      <x:c r="F56" s="32"/>
      <x:c r="G56" s="32"/>
      <x:c r="H56" s="32"/>
      <x:c r="I56" s="32"/>
      <x:c r="J56" s="32"/>
      <x:c r="K56" s="21"/>
      <x:c r="L56" s="21"/>
      <x:c r="M56" s="21"/>
    </x:row>
    <x:row r="57">
      <x:c r="A57" s="21"/>
      <x:c r="B57" s="30"/>
      <x:c r="C57" s="21" t="str">
        <x:f>IF(B57="","",TEXT(B57,"yyyy-mm"))</x:f>
      </x:c>
      <x:c r="D57" s="21"/>
      <x:c r="E57" s="21"/>
      <x:c r="F57" s="32"/>
      <x:c r="G57" s="32"/>
      <x:c r="H57" s="32"/>
      <x:c r="I57" s="32"/>
      <x:c r="J57" s="32"/>
      <x:c r="K57" s="21"/>
      <x:c r="L57" s="21"/>
      <x:c r="M57" s="21"/>
    </x:row>
    <x:row r="58">
      <x:c r="A58" s="21"/>
      <x:c r="B58" s="30"/>
      <x:c r="C58" s="21" t="str">
        <x:f>IF(B58="","",TEXT(B58,"yyyy-mm"))</x:f>
      </x:c>
      <x:c r="D58" s="21"/>
      <x:c r="E58" s="21"/>
      <x:c r="F58" s="32"/>
      <x:c r="G58" s="32"/>
      <x:c r="H58" s="32"/>
      <x:c r="I58" s="32"/>
      <x:c r="J58" s="32"/>
      <x:c r="K58" s="21"/>
      <x:c r="L58" s="21"/>
      <x:c r="M58" s="21"/>
    </x:row>
    <x:row r="59">
      <x:c r="A59" s="21"/>
      <x:c r="B59" s="30"/>
      <x:c r="C59" s="21" t="str">
        <x:f>IF(B59="","",TEXT(B59,"yyyy-mm"))</x:f>
      </x:c>
      <x:c r="D59" s="21"/>
      <x:c r="E59" s="21"/>
      <x:c r="F59" s="32"/>
      <x:c r="G59" s="32"/>
      <x:c r="H59" s="32"/>
      <x:c r="I59" s="32"/>
      <x:c r="J59" s="32"/>
      <x:c r="K59" s="21"/>
      <x:c r="L59" s="21"/>
      <x:c r="M59" s="21"/>
    </x:row>
    <x:row r="60">
      <x:c r="A60" s="21"/>
      <x:c r="B60" s="30"/>
      <x:c r="C60" s="21" t="str">
        <x:f>IF(B60="","",TEXT(B60,"yyyy-mm"))</x:f>
      </x:c>
      <x:c r="D60" s="21"/>
      <x:c r="E60" s="21"/>
      <x:c r="F60" s="32"/>
      <x:c r="G60" s="32"/>
      <x:c r="H60" s="32"/>
      <x:c r="I60" s="32"/>
      <x:c r="J60" s="32"/>
      <x:c r="K60" s="21"/>
      <x:c r="L60" s="21"/>
      <x:c r="M60" s="21"/>
    </x:row>
    <x:row r="61">
      <x:c r="A61" s="21"/>
      <x:c r="B61" s="30"/>
      <x:c r="C61" s="21" t="str">
        <x:f>IF(B61="","",TEXT(B61,"yyyy-mm"))</x:f>
      </x:c>
      <x:c r="D61" s="21"/>
      <x:c r="E61" s="21"/>
      <x:c r="F61" s="32"/>
      <x:c r="G61" s="32"/>
      <x:c r="H61" s="32"/>
      <x:c r="I61" s="32"/>
      <x:c r="J61" s="32"/>
      <x:c r="K61" s="21"/>
      <x:c r="L61" s="21"/>
      <x:c r="M61" s="21"/>
    </x:row>
    <x:row r="62">
      <x:c r="A62" s="21"/>
      <x:c r="B62" s="30"/>
      <x:c r="C62" s="21" t="str">
        <x:f>IF(B62="","",TEXT(B62,"yyyy-mm"))</x:f>
      </x:c>
      <x:c r="D62" s="21"/>
      <x:c r="E62" s="21"/>
      <x:c r="F62" s="32"/>
      <x:c r="G62" s="32"/>
      <x:c r="H62" s="32"/>
      <x:c r="I62" s="32"/>
      <x:c r="J62" s="32"/>
      <x:c r="K62" s="21"/>
      <x:c r="L62" s="21"/>
      <x:c r="M62" s="21"/>
    </x:row>
    <x:row r="63">
      <x:c r="A63" s="21"/>
      <x:c r="B63" s="30"/>
      <x:c r="C63" s="21" t="str">
        <x:f>IF(B63="","",TEXT(B63,"yyyy-mm"))</x:f>
      </x:c>
      <x:c r="D63" s="21"/>
      <x:c r="E63" s="21"/>
      <x:c r="F63" s="32"/>
      <x:c r="G63" s="32"/>
      <x:c r="H63" s="32"/>
      <x:c r="I63" s="32"/>
      <x:c r="J63" s="32"/>
      <x:c r="K63" s="21"/>
      <x:c r="L63" s="21"/>
      <x:c r="M63" s="21"/>
    </x:row>
    <x:row r="64">
      <x:c r="A64" s="21"/>
      <x:c r="B64" s="30"/>
      <x:c r="C64" s="21" t="str">
        <x:f>IF(B64="","",TEXT(B64,"yyyy-mm"))</x:f>
      </x:c>
      <x:c r="D64" s="21"/>
      <x:c r="E64" s="21"/>
      <x:c r="F64" s="32"/>
      <x:c r="G64" s="32"/>
      <x:c r="H64" s="32"/>
      <x:c r="I64" s="32"/>
      <x:c r="J64" s="32"/>
      <x:c r="K64" s="21"/>
      <x:c r="L64" s="21"/>
      <x:c r="M64" s="21"/>
    </x:row>
    <x:row r="65">
      <x:c r="A65" s="21"/>
      <x:c r="B65" s="30"/>
      <x:c r="C65" s="21" t="str">
        <x:f>IF(B65="","",TEXT(B65,"yyyy-mm"))</x:f>
      </x:c>
      <x:c r="D65" s="21"/>
      <x:c r="E65" s="21"/>
      <x:c r="F65" s="32"/>
      <x:c r="G65" s="32"/>
      <x:c r="H65" s="32"/>
      <x:c r="I65" s="32"/>
      <x:c r="J65" s="32"/>
      <x:c r="K65" s="21"/>
      <x:c r="L65" s="21"/>
      <x:c r="M65" s="21"/>
    </x:row>
    <x:row r="66">
      <x:c r="A66" s="21"/>
      <x:c r="B66" s="30"/>
      <x:c r="C66" s="21" t="str">
        <x:f>IF(B66="","",TEXT(B66,"yyyy-mm"))</x:f>
      </x:c>
      <x:c r="D66" s="21"/>
      <x:c r="E66" s="21"/>
      <x:c r="F66" s="32"/>
      <x:c r="G66" s="32"/>
      <x:c r="H66" s="32"/>
      <x:c r="I66" s="32"/>
      <x:c r="J66" s="32"/>
      <x:c r="K66" s="21"/>
      <x:c r="L66" s="21"/>
      <x:c r="M66" s="21"/>
    </x:row>
    <x:row r="67">
      <x:c r="A67" s="21"/>
      <x:c r="B67" s="30"/>
      <x:c r="C67" s="21" t="str">
        <x:f>IF(B67="","",TEXT(B67,"yyyy-mm"))</x:f>
      </x:c>
      <x:c r="D67" s="21"/>
      <x:c r="E67" s="21"/>
      <x:c r="F67" s="32"/>
      <x:c r="G67" s="32"/>
      <x:c r="H67" s="32"/>
      <x:c r="I67" s="32"/>
      <x:c r="J67" s="32"/>
      <x:c r="K67" s="21"/>
      <x:c r="L67" s="21"/>
      <x:c r="M67" s="21"/>
    </x:row>
    <x:row r="68">
      <x:c r="A68" s="21"/>
      <x:c r="B68" s="30"/>
      <x:c r="C68" s="21" t="str">
        <x:f>IF(B68="","",TEXT(B68,"yyyy-mm"))</x:f>
      </x:c>
      <x:c r="D68" s="21"/>
      <x:c r="E68" s="21"/>
      <x:c r="F68" s="32"/>
      <x:c r="G68" s="32"/>
      <x:c r="H68" s="32"/>
      <x:c r="I68" s="32"/>
      <x:c r="J68" s="32"/>
      <x:c r="K68" s="21"/>
      <x:c r="L68" s="21"/>
      <x:c r="M68" s="21"/>
    </x:row>
    <x:row r="69">
      <x:c r="A69" s="21"/>
      <x:c r="B69" s="30"/>
      <x:c r="C69" s="21" t="str">
        <x:f>IF(B69="","",TEXT(B69,"yyyy-mm"))</x:f>
      </x:c>
      <x:c r="D69" s="21"/>
      <x:c r="E69" s="21"/>
      <x:c r="F69" s="32"/>
      <x:c r="G69" s="32"/>
      <x:c r="H69" s="32"/>
      <x:c r="I69" s="32"/>
      <x:c r="J69" s="32"/>
      <x:c r="K69" s="21"/>
      <x:c r="L69" s="21"/>
      <x:c r="M69" s="21"/>
    </x:row>
    <x:row r="70">
      <x:c r="A70" s="21"/>
      <x:c r="B70" s="30"/>
      <x:c r="C70" s="21" t="str">
        <x:f>IF(B70="","",TEXT(B70,"yyyy-mm"))</x:f>
      </x:c>
      <x:c r="D70" s="21"/>
      <x:c r="E70" s="21"/>
      <x:c r="F70" s="32"/>
      <x:c r="G70" s="32"/>
      <x:c r="H70" s="32"/>
      <x:c r="I70" s="32"/>
      <x:c r="J70" s="32"/>
      <x:c r="K70" s="21"/>
      <x:c r="L70" s="21"/>
      <x:c r="M70" s="21"/>
    </x:row>
    <x:row r="71">
      <x:c r="A71" s="21"/>
      <x:c r="B71" s="30"/>
      <x:c r="C71" s="21" t="str">
        <x:f>IF(B71="","",TEXT(B71,"yyyy-mm"))</x:f>
      </x:c>
      <x:c r="D71" s="21"/>
      <x:c r="E71" s="21"/>
      <x:c r="F71" s="32"/>
      <x:c r="G71" s="32"/>
      <x:c r="H71" s="32"/>
      <x:c r="I71" s="32"/>
      <x:c r="J71" s="32"/>
      <x:c r="K71" s="21"/>
      <x:c r="L71" s="21"/>
      <x:c r="M71" s="21"/>
    </x:row>
    <x:row r="72">
      <x:c r="A72" s="21"/>
      <x:c r="B72" s="30"/>
      <x:c r="C72" s="21" t="str">
        <x:f>IF(B72="","",TEXT(B72,"yyyy-mm"))</x:f>
      </x:c>
      <x:c r="D72" s="21"/>
      <x:c r="E72" s="21"/>
      <x:c r="F72" s="32"/>
      <x:c r="G72" s="32"/>
      <x:c r="H72" s="32"/>
      <x:c r="I72" s="32"/>
      <x:c r="J72" s="32"/>
      <x:c r="K72" s="21"/>
      <x:c r="L72" s="21"/>
      <x:c r="M72" s="21"/>
    </x:row>
    <x:row r="73">
      <x:c r="A73" s="21"/>
      <x:c r="B73" s="30"/>
      <x:c r="C73" s="21" t="str">
        <x:f>IF(B73="","",TEXT(B73,"yyyy-mm"))</x:f>
      </x:c>
      <x:c r="D73" s="21"/>
      <x:c r="E73" s="21"/>
      <x:c r="F73" s="32"/>
      <x:c r="G73" s="32"/>
      <x:c r="H73" s="32"/>
      <x:c r="I73" s="32"/>
      <x:c r="J73" s="32"/>
      <x:c r="K73" s="21"/>
      <x:c r="L73" s="21"/>
      <x:c r="M73" s="21"/>
    </x:row>
    <x:row r="74">
      <x:c r="A74" s="21"/>
      <x:c r="B74" s="30"/>
      <x:c r="C74" s="21" t="str">
        <x:f>IF(B74="","",TEXT(B74,"yyyy-mm"))</x:f>
      </x:c>
      <x:c r="D74" s="21"/>
      <x:c r="E74" s="21"/>
      <x:c r="F74" s="32"/>
      <x:c r="G74" s="32"/>
      <x:c r="H74" s="32"/>
      <x:c r="I74" s="32"/>
      <x:c r="J74" s="32"/>
      <x:c r="K74" s="21"/>
      <x:c r="L74" s="21"/>
      <x:c r="M74" s="21"/>
    </x:row>
    <x:row r="75">
      <x:c r="A75" s="21"/>
      <x:c r="B75" s="30"/>
      <x:c r="C75" s="21" t="str">
        <x:f>IF(B75="","",TEXT(B75,"yyyy-mm"))</x:f>
      </x:c>
      <x:c r="D75" s="21"/>
      <x:c r="E75" s="21"/>
      <x:c r="F75" s="32"/>
      <x:c r="G75" s="32"/>
      <x:c r="H75" s="32"/>
      <x:c r="I75" s="32"/>
      <x:c r="J75" s="32"/>
      <x:c r="K75" s="21"/>
      <x:c r="L75" s="21"/>
      <x:c r="M75" s="21"/>
    </x:row>
    <x:row r="76">
      <x:c r="A76" s="21"/>
      <x:c r="B76" s="30"/>
      <x:c r="C76" s="21" t="str">
        <x:f>IF(B76="","",TEXT(B76,"yyyy-mm"))</x:f>
      </x:c>
      <x:c r="D76" s="21"/>
      <x:c r="E76" s="21"/>
      <x:c r="F76" s="32"/>
      <x:c r="G76" s="32"/>
      <x:c r="H76" s="32"/>
      <x:c r="I76" s="32"/>
      <x:c r="J76" s="32"/>
      <x:c r="K76" s="21"/>
      <x:c r="L76" s="21"/>
      <x:c r="M76" s="21"/>
    </x:row>
    <x:row r="77">
      <x:c r="A77" s="21"/>
      <x:c r="B77" s="30"/>
      <x:c r="C77" s="21" t="str">
        <x:f>IF(B77="","",TEXT(B77,"yyyy-mm"))</x:f>
      </x:c>
      <x:c r="D77" s="21"/>
      <x:c r="E77" s="21"/>
      <x:c r="F77" s="32"/>
      <x:c r="G77" s="32"/>
      <x:c r="H77" s="32"/>
      <x:c r="I77" s="32"/>
      <x:c r="J77" s="32"/>
      <x:c r="K77" s="21"/>
      <x:c r="L77" s="21"/>
      <x:c r="M77" s="21"/>
    </x:row>
    <x:row r="78">
      <x:c r="A78" s="21"/>
      <x:c r="B78" s="30"/>
      <x:c r="C78" s="21" t="str">
        <x:f>IF(B78="","",TEXT(B78,"yyyy-mm"))</x:f>
      </x:c>
      <x:c r="D78" s="21"/>
      <x:c r="E78" s="21"/>
      <x:c r="F78" s="32"/>
      <x:c r="G78" s="32"/>
      <x:c r="H78" s="32"/>
      <x:c r="I78" s="32"/>
      <x:c r="J78" s="32"/>
      <x:c r="K78" s="21"/>
      <x:c r="L78" s="21"/>
      <x:c r="M78" s="21"/>
    </x:row>
    <x:row r="79">
      <x:c r="A79" s="21"/>
      <x:c r="B79" s="30"/>
      <x:c r="C79" s="21" t="str">
        <x:f>IF(B79="","",TEXT(B79,"yyyy-mm"))</x:f>
      </x:c>
      <x:c r="D79" s="21"/>
      <x:c r="E79" s="21"/>
      <x:c r="F79" s="32"/>
      <x:c r="G79" s="32"/>
      <x:c r="H79" s="32"/>
      <x:c r="I79" s="32"/>
      <x:c r="J79" s="32"/>
      <x:c r="K79" s="21"/>
      <x:c r="L79" s="21"/>
      <x:c r="M79" s="21"/>
    </x:row>
    <x:row r="80">
      <x:c r="A80" s="21"/>
      <x:c r="B80" s="30"/>
      <x:c r="C80" s="21" t="str">
        <x:f>IF(B80="","",TEXT(B80,"yyyy-mm"))</x:f>
      </x:c>
      <x:c r="D80" s="21"/>
      <x:c r="E80" s="21"/>
      <x:c r="F80" s="32"/>
      <x:c r="G80" s="32"/>
      <x:c r="H80" s="32"/>
      <x:c r="I80" s="32"/>
      <x:c r="J80" s="32"/>
      <x:c r="K80" s="21"/>
      <x:c r="L80" s="21"/>
      <x:c r="M80" s="21"/>
    </x:row>
    <x:row r="81">
      <x:c r="A81" s="21"/>
      <x:c r="B81" s="30"/>
      <x:c r="C81" s="21" t="str">
        <x:f>IF(B81="","",TEXT(B81,"yyyy-mm"))</x:f>
      </x:c>
      <x:c r="D81" s="21"/>
      <x:c r="E81" s="21"/>
      <x:c r="F81" s="32"/>
      <x:c r="G81" s="32"/>
      <x:c r="H81" s="32"/>
      <x:c r="I81" s="32"/>
      <x:c r="J81" s="32"/>
      <x:c r="K81" s="21"/>
      <x:c r="L81" s="21"/>
      <x:c r="M81" s="21"/>
    </x:row>
    <x:row r="82">
      <x:c r="A82" s="21"/>
      <x:c r="B82" s="30"/>
      <x:c r="C82" s="21" t="str">
        <x:f>IF(B82="","",TEXT(B82,"yyyy-mm"))</x:f>
      </x:c>
      <x:c r="D82" s="21"/>
      <x:c r="E82" s="21"/>
      <x:c r="F82" s="32"/>
      <x:c r="G82" s="32"/>
      <x:c r="H82" s="32"/>
      <x:c r="I82" s="32"/>
      <x:c r="J82" s="32"/>
      <x:c r="K82" s="21"/>
      <x:c r="L82" s="21"/>
      <x:c r="M82" s="21"/>
    </x:row>
    <x:row r="83">
      <x:c r="A83" s="21"/>
      <x:c r="B83" s="30"/>
      <x:c r="C83" s="21" t="str">
        <x:f>IF(B83="","",TEXT(B83,"yyyy-mm"))</x:f>
      </x:c>
      <x:c r="D83" s="21"/>
      <x:c r="E83" s="21"/>
      <x:c r="F83" s="32"/>
      <x:c r="G83" s="32"/>
      <x:c r="H83" s="32"/>
      <x:c r="I83" s="32"/>
      <x:c r="J83" s="32"/>
      <x:c r="K83" s="21"/>
      <x:c r="L83" s="21"/>
      <x:c r="M83" s="21"/>
    </x:row>
    <x:row r="84">
      <x:c r="A84" s="21"/>
      <x:c r="B84" s="30"/>
      <x:c r="C84" s="21" t="str">
        <x:f>IF(B84="","",TEXT(B84,"yyyy-mm"))</x:f>
      </x:c>
      <x:c r="D84" s="21"/>
      <x:c r="E84" s="21"/>
      <x:c r="F84" s="32"/>
      <x:c r="G84" s="32"/>
      <x:c r="H84" s="32"/>
      <x:c r="I84" s="32"/>
      <x:c r="J84" s="32"/>
      <x:c r="K84" s="21"/>
      <x:c r="L84" s="21"/>
      <x:c r="M84" s="21"/>
    </x:row>
    <x:row r="85">
      <x:c r="A85" s="21"/>
      <x:c r="B85" s="30"/>
      <x:c r="C85" s="21" t="str">
        <x:f>IF(B85="","",TEXT(B85,"yyyy-mm"))</x:f>
      </x:c>
      <x:c r="D85" s="21"/>
      <x:c r="E85" s="21"/>
      <x:c r="F85" s="32"/>
      <x:c r="G85" s="32"/>
      <x:c r="H85" s="32"/>
      <x:c r="I85" s="32"/>
      <x:c r="J85" s="32"/>
      <x:c r="K85" s="21"/>
      <x:c r="L85" s="21"/>
      <x:c r="M85" s="21"/>
    </x:row>
    <x:row r="86">
      <x:c r="A86" s="21"/>
      <x:c r="B86" s="30"/>
      <x:c r="C86" s="21" t="str">
        <x:f>IF(B86="","",TEXT(B86,"yyyy-mm"))</x:f>
      </x:c>
      <x:c r="D86" s="21"/>
      <x:c r="E86" s="21"/>
      <x:c r="F86" s="32"/>
      <x:c r="G86" s="32"/>
      <x:c r="H86" s="32"/>
      <x:c r="I86" s="32"/>
      <x:c r="J86" s="32"/>
      <x:c r="K86" s="21"/>
      <x:c r="L86" s="21"/>
      <x:c r="M86" s="21"/>
    </x:row>
    <x:row r="87">
      <x:c r="A87" s="21"/>
      <x:c r="B87" s="30"/>
      <x:c r="C87" s="21" t="str">
        <x:f>IF(B87="","",TEXT(B87,"yyyy-mm"))</x:f>
      </x:c>
      <x:c r="D87" s="21"/>
      <x:c r="E87" s="21"/>
      <x:c r="F87" s="32"/>
      <x:c r="G87" s="32"/>
      <x:c r="H87" s="32"/>
      <x:c r="I87" s="32"/>
      <x:c r="J87" s="32"/>
      <x:c r="K87" s="21"/>
      <x:c r="L87" s="21"/>
      <x:c r="M87" s="21"/>
    </x:row>
    <x:row r="88">
      <x:c r="A88" s="21"/>
      <x:c r="B88" s="30"/>
      <x:c r="C88" s="21" t="str">
        <x:f>IF(B88="","",TEXT(B88,"yyyy-mm"))</x:f>
      </x:c>
      <x:c r="D88" s="21"/>
      <x:c r="E88" s="21"/>
      <x:c r="F88" s="32"/>
      <x:c r="G88" s="32"/>
      <x:c r="H88" s="32"/>
      <x:c r="I88" s="32"/>
      <x:c r="J88" s="32"/>
      <x:c r="K88" s="21"/>
      <x:c r="L88" s="21"/>
      <x:c r="M88" s="21"/>
    </x:row>
    <x:row r="89">
      <x:c r="A89" s="21"/>
      <x:c r="B89" s="30"/>
      <x:c r="C89" s="21" t="str">
        <x:f>IF(B89="","",TEXT(B89,"yyyy-mm"))</x:f>
      </x:c>
      <x:c r="D89" s="21"/>
      <x:c r="E89" s="21"/>
      <x:c r="F89" s="32"/>
      <x:c r="G89" s="32"/>
      <x:c r="H89" s="32"/>
      <x:c r="I89" s="32"/>
      <x:c r="J89" s="32"/>
      <x:c r="K89" s="21"/>
      <x:c r="L89" s="21"/>
      <x:c r="M89" s="21"/>
    </x:row>
    <x:row r="90">
      <x:c r="A90" s="21"/>
      <x:c r="B90" s="30"/>
      <x:c r="C90" s="21" t="str">
        <x:f>IF(B90="","",TEXT(B90,"yyyy-mm"))</x:f>
      </x:c>
      <x:c r="D90" s="21"/>
      <x:c r="E90" s="21"/>
      <x:c r="F90" s="32"/>
      <x:c r="G90" s="32"/>
      <x:c r="H90" s="32"/>
      <x:c r="I90" s="32"/>
      <x:c r="J90" s="32"/>
      <x:c r="K90" s="21"/>
      <x:c r="L90" s="21"/>
      <x:c r="M90" s="21"/>
    </x:row>
    <x:row r="91">
      <x:c r="A91" s="21"/>
      <x:c r="B91" s="30"/>
      <x:c r="C91" s="21" t="str">
        <x:f>IF(B91="","",TEXT(B91,"yyyy-mm"))</x:f>
      </x:c>
      <x:c r="D91" s="21"/>
      <x:c r="E91" s="21"/>
      <x:c r="F91" s="32"/>
      <x:c r="G91" s="32"/>
      <x:c r="H91" s="32"/>
      <x:c r="I91" s="32"/>
      <x:c r="J91" s="32"/>
      <x:c r="K91" s="21"/>
      <x:c r="L91" s="21"/>
      <x:c r="M91" s="21"/>
    </x:row>
    <x:row r="92">
      <x:c r="A92" s="21"/>
      <x:c r="B92" s="30"/>
      <x:c r="C92" s="21" t="str">
        <x:f>IF(B92="","",TEXT(B92,"yyyy-mm"))</x:f>
      </x:c>
      <x:c r="D92" s="21"/>
      <x:c r="E92" s="21"/>
      <x:c r="F92" s="32"/>
      <x:c r="G92" s="32"/>
      <x:c r="H92" s="32"/>
      <x:c r="I92" s="32"/>
      <x:c r="J92" s="32"/>
      <x:c r="K92" s="21"/>
      <x:c r="L92" s="21"/>
      <x:c r="M92" s="21"/>
    </x:row>
    <x:row r="93">
      <x:c r="A93" s="21"/>
      <x:c r="B93" s="30"/>
      <x:c r="C93" s="21" t="str">
        <x:f>IF(B93="","",TEXT(B93,"yyyy-mm"))</x:f>
      </x:c>
      <x:c r="D93" s="21"/>
      <x:c r="E93" s="21"/>
      <x:c r="F93" s="32"/>
      <x:c r="G93" s="32"/>
      <x:c r="H93" s="32"/>
      <x:c r="I93" s="32"/>
      <x:c r="J93" s="32"/>
      <x:c r="K93" s="21"/>
      <x:c r="L93" s="21"/>
      <x:c r="M93" s="21"/>
    </x:row>
    <x:row r="94">
      <x:c r="A94" s="21"/>
      <x:c r="B94" s="30"/>
      <x:c r="C94" s="21" t="str">
        <x:f>IF(B94="","",TEXT(B94,"yyyy-mm"))</x:f>
      </x:c>
      <x:c r="D94" s="21"/>
      <x:c r="E94" s="21"/>
      <x:c r="F94" s="32"/>
      <x:c r="G94" s="32"/>
      <x:c r="H94" s="32"/>
      <x:c r="I94" s="32"/>
      <x:c r="J94" s="32"/>
      <x:c r="K94" s="21"/>
      <x:c r="L94" s="21"/>
      <x:c r="M94" s="21"/>
    </x:row>
    <x:row r="95">
      <x:c r="A95" s="21"/>
      <x:c r="B95" s="30"/>
      <x:c r="C95" s="21" t="str">
        <x:f>IF(B95="","",TEXT(B95,"yyyy-mm"))</x:f>
      </x:c>
      <x:c r="D95" s="21"/>
      <x:c r="E95" s="21"/>
      <x:c r="F95" s="32"/>
      <x:c r="G95" s="32"/>
      <x:c r="H95" s="32"/>
      <x:c r="I95" s="32"/>
      <x:c r="J95" s="32"/>
      <x:c r="K95" s="21"/>
      <x:c r="L95" s="21"/>
      <x:c r="M95" s="21"/>
    </x:row>
    <x:row r="96">
      <x:c r="A96" s="21"/>
      <x:c r="B96" s="30"/>
      <x:c r="C96" s="21" t="str">
        <x:f>IF(B96="","",TEXT(B96,"yyyy-mm"))</x:f>
      </x:c>
      <x:c r="D96" s="21"/>
      <x:c r="E96" s="21"/>
      <x:c r="F96" s="32"/>
      <x:c r="G96" s="32"/>
      <x:c r="H96" s="32"/>
      <x:c r="I96" s="32"/>
      <x:c r="J96" s="32"/>
      <x:c r="K96" s="21"/>
      <x:c r="L96" s="21"/>
      <x:c r="M96" s="21"/>
    </x:row>
    <x:row r="97">
      <x:c r="A97" s="21"/>
      <x:c r="B97" s="30"/>
      <x:c r="C97" s="21" t="str">
        <x:f>IF(B97="","",TEXT(B97,"yyyy-mm"))</x:f>
      </x:c>
      <x:c r="D97" s="21"/>
      <x:c r="E97" s="21"/>
      <x:c r="F97" s="32"/>
      <x:c r="G97" s="32"/>
      <x:c r="H97" s="32"/>
      <x:c r="I97" s="32"/>
      <x:c r="J97" s="32"/>
      <x:c r="K97" s="21"/>
      <x:c r="L97" s="21"/>
      <x:c r="M97" s="21"/>
    </x:row>
    <x:row r="98">
      <x:c r="A98" s="21"/>
      <x:c r="B98" s="30"/>
      <x:c r="C98" s="21" t="str">
        <x:f>IF(B98="","",TEXT(B98,"yyyy-mm"))</x:f>
      </x:c>
      <x:c r="D98" s="21"/>
      <x:c r="E98" s="21"/>
      <x:c r="F98" s="32"/>
      <x:c r="G98" s="32"/>
      <x:c r="H98" s="32"/>
      <x:c r="I98" s="32"/>
      <x:c r="J98" s="32"/>
      <x:c r="K98" s="21"/>
      <x:c r="L98" s="21"/>
      <x:c r="M98" s="21"/>
    </x:row>
    <x:row r="99">
      <x:c r="A99" s="21"/>
      <x:c r="B99" s="30"/>
      <x:c r="C99" s="21" t="str">
        <x:f>IF(B99="","",TEXT(B99,"yyyy-mm"))</x:f>
      </x:c>
      <x:c r="D99" s="21"/>
      <x:c r="E99" s="21"/>
      <x:c r="F99" s="32"/>
      <x:c r="G99" s="32"/>
      <x:c r="H99" s="32"/>
      <x:c r="I99" s="32"/>
      <x:c r="J99" s="32"/>
      <x:c r="K99" s="21"/>
      <x:c r="L99" s="21"/>
      <x:c r="M99" s="21"/>
    </x:row>
    <x:row r="100">
      <x:c r="A100" s="21"/>
      <x:c r="B100" s="30"/>
      <x:c r="C100" s="21" t="str">
        <x:f>IF(B100="","",TEXT(B100,"yyyy-mm"))</x:f>
      </x:c>
      <x:c r="D100" s="21"/>
      <x:c r="E100" s="21"/>
      <x:c r="F100" s="32"/>
      <x:c r="G100" s="32"/>
      <x:c r="H100" s="32"/>
      <x:c r="I100" s="32"/>
      <x:c r="J100" s="32"/>
      <x:c r="K100" s="21"/>
      <x:c r="L100" s="21"/>
      <x:c r="M100" s="21"/>
    </x:row>
    <x:row r="101">
      <x:c r="A101" s="21"/>
      <x:c r="B101" s="30"/>
      <x:c r="C101" s="21" t="str">
        <x:f>IF(B101="","",TEXT(B101,"yyyy-mm"))</x:f>
      </x:c>
      <x:c r="D101" s="21"/>
      <x:c r="E101" s="21"/>
      <x:c r="F101" s="32"/>
      <x:c r="G101" s="32"/>
      <x:c r="H101" s="32"/>
      <x:c r="I101" s="32"/>
      <x:c r="J101" s="32"/>
      <x:c r="K101" s="21"/>
      <x:c r="L101" s="21"/>
      <x:c r="M101" s="21"/>
    </x:row>
    <x:row r="102">
      <x:c r="A102" s="21"/>
      <x:c r="B102" s="30"/>
      <x:c r="C102" s="21" t="str">
        <x:f>IF(B102="","",TEXT(B102,"yyyy-mm"))</x:f>
      </x:c>
      <x:c r="D102" s="21"/>
      <x:c r="E102" s="21"/>
      <x:c r="F102" s="32"/>
      <x:c r="G102" s="32"/>
      <x:c r="H102" s="32"/>
      <x:c r="I102" s="32"/>
      <x:c r="J102" s="32"/>
      <x:c r="K102" s="21"/>
      <x:c r="L102" s="21"/>
      <x:c r="M102" s="21"/>
    </x:row>
    <x:row r="103">
      <x:c r="A103" s="21"/>
      <x:c r="B103" s="30"/>
      <x:c r="C103" s="21" t="str">
        <x:f>IF(B103="","",TEXT(B103,"yyyy-mm"))</x:f>
      </x:c>
      <x:c r="D103" s="21"/>
      <x:c r="E103" s="21"/>
      <x:c r="F103" s="32"/>
      <x:c r="G103" s="32"/>
      <x:c r="H103" s="32"/>
      <x:c r="I103" s="32"/>
      <x:c r="J103" s="32"/>
      <x:c r="K103" s="21"/>
      <x:c r="L103" s="21"/>
      <x:c r="M103" s="21"/>
    </x:row>
    <x:row r="104">
      <x:c r="A104" s="21"/>
      <x:c r="B104" s="30"/>
      <x:c r="C104" s="21" t="str">
        <x:f>IF(B104="","",TEXT(B104,"yyyy-mm"))</x:f>
      </x:c>
      <x:c r="D104" s="21"/>
      <x:c r="E104" s="21"/>
      <x:c r="F104" s="32"/>
      <x:c r="G104" s="32"/>
      <x:c r="H104" s="32"/>
      <x:c r="I104" s="32"/>
      <x:c r="J104" s="32"/>
      <x:c r="K104" s="21"/>
      <x:c r="L104" s="21"/>
      <x:c r="M104" s="21"/>
    </x:row>
  </x:sheetData>
  <x:mergeCells>
    <x:mergeCell ref="A1:M2"/>
  </x:mergeCells>
  <x:conditionalFormatting sqref="K5:K104">
    <x:cfRule type="expression" dxfId="0" priority="1">
      <x:formula>K5="Pending"</x:formula>
    </x:cfRule>
  </x:conditionalFormatting>
  <x:dataValidations count="1">
    <x:dataValidation type="list" sqref="K5:K104">
      <x:formula1>"Yes,No,Pending"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11" hidden="0" customWidth="1"/>
    <x:col min="4" max="4" width="22" hidden="0" customWidth="1"/>
    <x:col min="5" max="5" width="16" hidden="0" customWidth="1"/>
    <x:col min="6" max="6" width="18" hidden="0" customWidth="1"/>
    <x:col min="7" max="7" width="34" hidden="0" customWidth="1"/>
    <x:col min="8" max="8" width="16" hidden="0" customWidth="1"/>
    <x:col min="9" max="9" width="11" hidden="0" customWidth="1"/>
    <x:col min="10" max="10" width="14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1" hidden="0" customWidth="1"/>
    <x:col min="16" max="16" width="24" hidden="0" customWidth="1"/>
    <x:col min="17" max="17" width="13" hidden="0" customWidth="1"/>
    <x:col min="18" max="18" width="26" hidden="0" customWidth="1"/>
    <x:col min="19" max="19" width="36" hidden="0" customWidth="1"/>
  </x:cols>
  <x:sheetData>
    <x:row r="1">
      <x:c r="A1" s="4" t="str">
        <x:v>Item Price Log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</x:row>
    <x:row r="4">
      <x:c r="A4" s="15" t="str">
        <x:v>Invoice ID</x:v>
      </x:c>
      <x:c r="B4" s="15" t="str">
        <x:v>Invoice Date</x:v>
      </x:c>
      <x:c r="C4" s="15" t="str">
        <x:v>Month</x:v>
      </x:c>
      <x:c r="D4" s="15" t="str">
        <x:v>Vendor</x:v>
      </x:c>
      <x:c r="E4" s="15" t="str">
        <x:v>Vendor SKU</x:v>
      </x:c>
      <x:c r="F4" s="15" t="str">
        <x:v>Item ID</x:v>
      </x:c>
      <x:c r="G4" s="15" t="str">
        <x:v>Item Description</x:v>
      </x:c>
      <x:c r="H4" s="15" t="str">
        <x:v>Category</x:v>
      </x:c>
      <x:c r="I4" s="15" t="str">
        <x:v>Quantity</x:v>
      </x:c>
      <x:c r="J4" s="15" t="str">
        <x:v>Unit/Pack</x:v>
      </x:c>
      <x:c r="K4" s="15" t="str">
        <x:v>Unit Price</x:v>
      </x:c>
      <x:c r="L4" s="15" t="str">
        <x:v>Line Total</x:v>
      </x:c>
      <x:c r="M4" s="15" t="str">
        <x:v>Previous Price</x:v>
      </x:c>
      <x:c r="N4" s="15" t="str">
        <x:v>Price Change %</x:v>
      </x:c>
      <x:c r="O4" s="15" t="str">
        <x:v>Price Alert</x:v>
      </x:c>
      <x:c r="P4" s="15" t="str">
        <x:v>Match Status</x:v>
      </x:c>
      <x:c r="Q4" s="15" t="str">
        <x:v>Confidence %</x:v>
      </x:c>
      <x:c r="R4" s="15" t="str">
        <x:v>Source Link</x:v>
      </x:c>
      <x:c r="S4" s="15" t="str">
        <x:v>Notes</x:v>
      </x:c>
    </x:row>
    <x:row r="5">
      <x:c r="A5" s="21"/>
      <x:c r="B5" s="30"/>
      <x:c r="C5" s="21" t="str">
        <x:f>IF(B5="","",TEXT(B5,"yyyy-mm"))</x:f>
      </x:c>
      <x:c r="D5" s="21"/>
      <x:c r="E5" s="21"/>
      <x:c r="F5" s="21"/>
      <x:c r="G5" s="21"/>
      <x:c r="H5" s="21"/>
      <x:c r="I5" s="21"/>
      <x:c r="J5" s="21"/>
      <x:c r="K5" s="32"/>
      <x:c r="L5" s="32"/>
      <x:c r="M5" s="32" t="str">
        <x:f>IF(F5="","",IFERROR(LOOKUP(2,1/($F$4:F4=F5),$K$4:K4),""))</x:f>
      </x:c>
      <x:c r="N5" s="36" t="str">
        <x:f>IF(OR(K5="",M5="",M5=0),"",(K5-M5)/M5)</x:f>
      </x:c>
      <x:c r="O5" s="21" t="str">
        <x:f>IF(N5="","",IF(ABS(N5)&gt;=Settings!$B$9,"ALERT",""))</x:f>
      </x:c>
      <x:c r="P5" s="21"/>
      <x:c r="Q5" s="38"/>
      <x:c r="R5" s="21"/>
      <x:c r="S5" s="21"/>
    </x:row>
    <x:row r="6">
      <x:c r="A6" s="21"/>
      <x:c r="B6" s="30"/>
      <x:c r="C6" s="21" t="str">
        <x:f>IF(B6="","",TEXT(B6,"yyyy-mm"))</x:f>
      </x:c>
      <x:c r="D6" s="21"/>
      <x:c r="E6" s="21"/>
      <x:c r="F6" s="21"/>
      <x:c r="G6" s="21"/>
      <x:c r="H6" s="21"/>
      <x:c r="I6" s="21"/>
      <x:c r="J6" s="21"/>
      <x:c r="K6" s="32"/>
      <x:c r="L6" s="32"/>
      <x:c r="M6" s="32" t="str">
        <x:f>IF(F6="","",IFERROR(LOOKUP(2,1/($F$4:F5=F6),$K$4:K5),""))</x:f>
      </x:c>
      <x:c r="N6" s="36" t="str">
        <x:f>IF(OR(K6="",M6="",M6=0),"",(K6-M6)/M6)</x:f>
      </x:c>
      <x:c r="O6" s="21" t="str">
        <x:f>IF(N6="","",IF(ABS(N6)&gt;=Settings!$B$9,"ALERT",""))</x:f>
      </x:c>
      <x:c r="P6" s="21"/>
      <x:c r="Q6" s="38"/>
      <x:c r="R6" s="21"/>
      <x:c r="S6" s="21"/>
    </x:row>
    <x:row r="7">
      <x:c r="A7" s="21"/>
      <x:c r="B7" s="30"/>
      <x:c r="C7" s="21" t="str">
        <x:f>IF(B7="","",TEXT(B7,"yyyy-mm"))</x:f>
      </x:c>
      <x:c r="D7" s="21"/>
      <x:c r="E7" s="21"/>
      <x:c r="F7" s="21"/>
      <x:c r="G7" s="21"/>
      <x:c r="H7" s="21"/>
      <x:c r="I7" s="21"/>
      <x:c r="J7" s="21"/>
      <x:c r="K7" s="32"/>
      <x:c r="L7" s="32"/>
      <x:c r="M7" s="32" t="str">
        <x:f>IF(F7="","",IFERROR(LOOKUP(2,1/($F$4:F6=F7),$K$4:K6),""))</x:f>
      </x:c>
      <x:c r="N7" s="36" t="str">
        <x:f>IF(OR(K7="",M7="",M7=0),"",(K7-M7)/M7)</x:f>
      </x:c>
      <x:c r="O7" s="21" t="str">
        <x:f>IF(N7="","",IF(ABS(N7)&gt;=Settings!$B$9,"ALERT",""))</x:f>
      </x:c>
      <x:c r="P7" s="21"/>
      <x:c r="Q7" s="38"/>
      <x:c r="R7" s="21"/>
      <x:c r="S7" s="21"/>
    </x:row>
    <x:row r="8">
      <x:c r="A8" s="21"/>
      <x:c r="B8" s="30"/>
      <x:c r="C8" s="21" t="str">
        <x:f>IF(B8="","",TEXT(B8,"yyyy-mm"))</x:f>
      </x:c>
      <x:c r="D8" s="21"/>
      <x:c r="E8" s="21"/>
      <x:c r="F8" s="21"/>
      <x:c r="G8" s="21"/>
      <x:c r="H8" s="21"/>
      <x:c r="I8" s="21"/>
      <x:c r="J8" s="21"/>
      <x:c r="K8" s="32"/>
      <x:c r="L8" s="32"/>
      <x:c r="M8" s="32" t="str">
        <x:f>IF(F8="","",IFERROR(LOOKUP(2,1/($F$4:F7=F8),$K$4:K7),""))</x:f>
      </x:c>
      <x:c r="N8" s="36" t="str">
        <x:f>IF(OR(K8="",M8="",M8=0),"",(K8-M8)/M8)</x:f>
      </x:c>
      <x:c r="O8" s="21" t="str">
        <x:f>IF(N8="","",IF(ABS(N8)&gt;=Settings!$B$9,"ALERT",""))</x:f>
      </x:c>
      <x:c r="P8" s="21"/>
      <x:c r="Q8" s="38"/>
      <x:c r="R8" s="21"/>
      <x:c r="S8" s="21"/>
    </x:row>
    <x:row r="9">
      <x:c r="A9" s="21"/>
      <x:c r="B9" s="30"/>
      <x:c r="C9" s="21" t="str">
        <x:f>IF(B9="","",TEXT(B9,"yyyy-mm"))</x:f>
      </x:c>
      <x:c r="D9" s="21"/>
      <x:c r="E9" s="21"/>
      <x:c r="F9" s="21"/>
      <x:c r="G9" s="21"/>
      <x:c r="H9" s="21"/>
      <x:c r="I9" s="21"/>
      <x:c r="J9" s="21"/>
      <x:c r="K9" s="32"/>
      <x:c r="L9" s="32"/>
      <x:c r="M9" s="32" t="str">
        <x:f>IF(F9="","",IFERROR(LOOKUP(2,1/($F$4:F8=F9),$K$4:K8),""))</x:f>
      </x:c>
      <x:c r="N9" s="36" t="str">
        <x:f>IF(OR(K9="",M9="",M9=0),"",(K9-M9)/M9)</x:f>
      </x:c>
      <x:c r="O9" s="21" t="str">
        <x:f>IF(N9="","",IF(ABS(N9)&gt;=Settings!$B$9,"ALERT",""))</x:f>
      </x:c>
      <x:c r="P9" s="21"/>
      <x:c r="Q9" s="38"/>
      <x:c r="R9" s="21"/>
      <x:c r="S9" s="21"/>
    </x:row>
    <x:row r="10">
      <x:c r="A10" s="21"/>
      <x:c r="B10" s="30"/>
      <x:c r="C10" s="21" t="str">
        <x:f>IF(B10="","",TEXT(B10,"yyyy-mm"))</x:f>
      </x:c>
      <x:c r="D10" s="21"/>
      <x:c r="E10" s="21"/>
      <x:c r="F10" s="21"/>
      <x:c r="G10" s="21"/>
      <x:c r="H10" s="21"/>
      <x:c r="I10" s="21"/>
      <x:c r="J10" s="21"/>
      <x:c r="K10" s="32"/>
      <x:c r="L10" s="32"/>
      <x:c r="M10" s="32" t="str">
        <x:f>IF(F10="","",IFERROR(LOOKUP(2,1/($F$4:F9=F10),$K$4:K9),""))</x:f>
      </x:c>
      <x:c r="N10" s="36" t="str">
        <x:f>IF(OR(K10="",M10="",M10=0),"",(K10-M10)/M10)</x:f>
      </x:c>
      <x:c r="O10" s="21" t="str">
        <x:f>IF(N10="","",IF(ABS(N10)&gt;=Settings!$B$9,"ALERT",""))</x:f>
      </x:c>
      <x:c r="P10" s="21"/>
      <x:c r="Q10" s="38"/>
      <x:c r="R10" s="21"/>
      <x:c r="S10" s="21"/>
    </x:row>
    <x:row r="11">
      <x:c r="A11" s="21"/>
      <x:c r="B11" s="30"/>
      <x:c r="C11" s="21" t="str">
        <x:f>IF(B11="","",TEXT(B11,"yyyy-mm"))</x:f>
      </x:c>
      <x:c r="D11" s="21"/>
      <x:c r="E11" s="21"/>
      <x:c r="F11" s="21"/>
      <x:c r="G11" s="21"/>
      <x:c r="H11" s="21"/>
      <x:c r="I11" s="21"/>
      <x:c r="J11" s="21"/>
      <x:c r="K11" s="32"/>
      <x:c r="L11" s="32"/>
      <x:c r="M11" s="32" t="str">
        <x:f>IF(F11="","",IFERROR(LOOKUP(2,1/($F$4:F10=F11),$K$4:K10),""))</x:f>
      </x:c>
      <x:c r="N11" s="36" t="str">
        <x:f>IF(OR(K11="",M11="",M11=0),"",(K11-M11)/M11)</x:f>
      </x:c>
      <x:c r="O11" s="21" t="str">
        <x:f>IF(N11="","",IF(ABS(N11)&gt;=Settings!$B$9,"ALERT",""))</x:f>
      </x:c>
      <x:c r="P11" s="21"/>
      <x:c r="Q11" s="38"/>
      <x:c r="R11" s="21"/>
      <x:c r="S11" s="21"/>
    </x:row>
    <x:row r="12">
      <x:c r="A12" s="21"/>
      <x:c r="B12" s="30"/>
      <x:c r="C12" s="21" t="str">
        <x:f>IF(B12="","",TEXT(B12,"yyyy-mm"))</x:f>
      </x:c>
      <x:c r="D12" s="21"/>
      <x:c r="E12" s="21"/>
      <x:c r="F12" s="21"/>
      <x:c r="G12" s="21"/>
      <x:c r="H12" s="21"/>
      <x:c r="I12" s="21"/>
      <x:c r="J12" s="21"/>
      <x:c r="K12" s="32"/>
      <x:c r="L12" s="32"/>
      <x:c r="M12" s="32" t="str">
        <x:f>IF(F12="","",IFERROR(LOOKUP(2,1/($F$4:F11=F12),$K$4:K11),""))</x:f>
      </x:c>
      <x:c r="N12" s="36" t="str">
        <x:f>IF(OR(K12="",M12="",M12=0),"",(K12-M12)/M12)</x:f>
      </x:c>
      <x:c r="O12" s="21" t="str">
        <x:f>IF(N12="","",IF(ABS(N12)&gt;=Settings!$B$9,"ALERT",""))</x:f>
      </x:c>
      <x:c r="P12" s="21"/>
      <x:c r="Q12" s="38"/>
      <x:c r="R12" s="21"/>
      <x:c r="S12" s="21"/>
    </x:row>
    <x:row r="13">
      <x:c r="A13" s="21"/>
      <x:c r="B13" s="30"/>
      <x:c r="C13" s="21" t="str">
        <x:f>IF(B13="","",TEXT(B13,"yyyy-mm"))</x:f>
      </x:c>
      <x:c r="D13" s="21"/>
      <x:c r="E13" s="21"/>
      <x:c r="F13" s="21"/>
      <x:c r="G13" s="21"/>
      <x:c r="H13" s="21"/>
      <x:c r="I13" s="21"/>
      <x:c r="J13" s="21"/>
      <x:c r="K13" s="32"/>
      <x:c r="L13" s="32"/>
      <x:c r="M13" s="32" t="str">
        <x:f>IF(F13="","",IFERROR(LOOKUP(2,1/($F$4:F12=F13),$K$4:K12),""))</x:f>
      </x:c>
      <x:c r="N13" s="36" t="str">
        <x:f>IF(OR(K13="",M13="",M13=0),"",(K13-M13)/M13)</x:f>
      </x:c>
      <x:c r="O13" s="21" t="str">
        <x:f>IF(N13="","",IF(ABS(N13)&gt;=Settings!$B$9,"ALERT",""))</x:f>
      </x:c>
      <x:c r="P13" s="21"/>
      <x:c r="Q13" s="38"/>
      <x:c r="R13" s="21"/>
      <x:c r="S13" s="21"/>
    </x:row>
    <x:row r="14">
      <x:c r="A14" s="21"/>
      <x:c r="B14" s="30"/>
      <x:c r="C14" s="21" t="str">
        <x:f>IF(B14="","",TEXT(B14,"yyyy-mm"))</x:f>
      </x:c>
      <x:c r="D14" s="21"/>
      <x:c r="E14" s="21"/>
      <x:c r="F14" s="21"/>
      <x:c r="G14" s="21"/>
      <x:c r="H14" s="21"/>
      <x:c r="I14" s="21"/>
      <x:c r="J14" s="21"/>
      <x:c r="K14" s="32"/>
      <x:c r="L14" s="32"/>
      <x:c r="M14" s="32" t="str">
        <x:f>IF(F14="","",IFERROR(LOOKUP(2,1/($F$4:F13=F14),$K$4:K13),""))</x:f>
      </x:c>
      <x:c r="N14" s="36" t="str">
        <x:f>IF(OR(K14="",M14="",M14=0),"",(K14-M14)/M14)</x:f>
      </x:c>
      <x:c r="O14" s="21" t="str">
        <x:f>IF(N14="","",IF(ABS(N14)&gt;=Settings!$B$9,"ALERT",""))</x:f>
      </x:c>
      <x:c r="P14" s="21"/>
      <x:c r="Q14" s="38"/>
      <x:c r="R14" s="21"/>
      <x:c r="S14" s="21"/>
    </x:row>
    <x:row r="15">
      <x:c r="A15" s="21"/>
      <x:c r="B15" s="30"/>
      <x:c r="C15" s="21" t="str">
        <x:f>IF(B15="","",TEXT(B15,"yyyy-mm"))</x:f>
      </x:c>
      <x:c r="D15" s="21"/>
      <x:c r="E15" s="21"/>
      <x:c r="F15" s="21"/>
      <x:c r="G15" s="21"/>
      <x:c r="H15" s="21"/>
      <x:c r="I15" s="21"/>
      <x:c r="J15" s="21"/>
      <x:c r="K15" s="32"/>
      <x:c r="L15" s="32"/>
      <x:c r="M15" s="32" t="str">
        <x:f>IF(F15="","",IFERROR(LOOKUP(2,1/($F$4:F14=F15),$K$4:K14),""))</x:f>
      </x:c>
      <x:c r="N15" s="36" t="str">
        <x:f>IF(OR(K15="",M15="",M15=0),"",(K15-M15)/M15)</x:f>
      </x:c>
      <x:c r="O15" s="21" t="str">
        <x:f>IF(N15="","",IF(ABS(N15)&gt;=Settings!$B$9,"ALERT",""))</x:f>
      </x:c>
      <x:c r="P15" s="21"/>
      <x:c r="Q15" s="38"/>
      <x:c r="R15" s="21"/>
      <x:c r="S15" s="21"/>
    </x:row>
    <x:row r="16">
      <x:c r="A16" s="21"/>
      <x:c r="B16" s="30"/>
      <x:c r="C16" s="21" t="str">
        <x:f>IF(B16="","",TEXT(B16,"yyyy-mm"))</x:f>
      </x:c>
      <x:c r="D16" s="21"/>
      <x:c r="E16" s="21"/>
      <x:c r="F16" s="21"/>
      <x:c r="G16" s="21"/>
      <x:c r="H16" s="21"/>
      <x:c r="I16" s="21"/>
      <x:c r="J16" s="21"/>
      <x:c r="K16" s="32"/>
      <x:c r="L16" s="32"/>
      <x:c r="M16" s="32" t="str">
        <x:f>IF(F16="","",IFERROR(LOOKUP(2,1/($F$4:F15=F16),$K$4:K15),""))</x:f>
      </x:c>
      <x:c r="N16" s="36" t="str">
        <x:f>IF(OR(K16="",M16="",M16=0),"",(K16-M16)/M16)</x:f>
      </x:c>
      <x:c r="O16" s="21" t="str">
        <x:f>IF(N16="","",IF(ABS(N16)&gt;=Settings!$B$9,"ALERT",""))</x:f>
      </x:c>
      <x:c r="P16" s="21"/>
      <x:c r="Q16" s="38"/>
      <x:c r="R16" s="21"/>
      <x:c r="S16" s="21"/>
    </x:row>
    <x:row r="17">
      <x:c r="A17" s="21"/>
      <x:c r="B17" s="30"/>
      <x:c r="C17" s="21" t="str">
        <x:f>IF(B17="","",TEXT(B17,"yyyy-mm"))</x:f>
      </x:c>
      <x:c r="D17" s="21"/>
      <x:c r="E17" s="21"/>
      <x:c r="F17" s="21"/>
      <x:c r="G17" s="21"/>
      <x:c r="H17" s="21"/>
      <x:c r="I17" s="21"/>
      <x:c r="J17" s="21"/>
      <x:c r="K17" s="32"/>
      <x:c r="L17" s="32"/>
      <x:c r="M17" s="32" t="str">
        <x:f>IF(F17="","",IFERROR(LOOKUP(2,1/($F$4:F16=F17),$K$4:K16),""))</x:f>
      </x:c>
      <x:c r="N17" s="36" t="str">
        <x:f>IF(OR(K17="",M17="",M17=0),"",(K17-M17)/M17)</x:f>
      </x:c>
      <x:c r="O17" s="21" t="str">
        <x:f>IF(N17="","",IF(ABS(N17)&gt;=Settings!$B$9,"ALERT",""))</x:f>
      </x:c>
      <x:c r="P17" s="21"/>
      <x:c r="Q17" s="38"/>
      <x:c r="R17" s="21"/>
      <x:c r="S17" s="21"/>
    </x:row>
    <x:row r="18">
      <x:c r="A18" s="21"/>
      <x:c r="B18" s="30"/>
      <x:c r="C18" s="21" t="str">
        <x:f>IF(B18="","",TEXT(B18,"yyyy-mm"))</x:f>
      </x:c>
      <x:c r="D18" s="21"/>
      <x:c r="E18" s="21"/>
      <x:c r="F18" s="21"/>
      <x:c r="G18" s="21"/>
      <x:c r="H18" s="21"/>
      <x:c r="I18" s="21"/>
      <x:c r="J18" s="21"/>
      <x:c r="K18" s="32"/>
      <x:c r="L18" s="32"/>
      <x:c r="M18" s="32" t="str">
        <x:f>IF(F18="","",IFERROR(LOOKUP(2,1/($F$4:F17=F18),$K$4:K17),""))</x:f>
      </x:c>
      <x:c r="N18" s="36" t="str">
        <x:f>IF(OR(K18="",M18="",M18=0),"",(K18-M18)/M18)</x:f>
      </x:c>
      <x:c r="O18" s="21" t="str">
        <x:f>IF(N18="","",IF(ABS(N18)&gt;=Settings!$B$9,"ALERT",""))</x:f>
      </x:c>
      <x:c r="P18" s="21"/>
      <x:c r="Q18" s="38"/>
      <x:c r="R18" s="21"/>
      <x:c r="S18" s="21"/>
    </x:row>
    <x:row r="19">
      <x:c r="A19" s="21"/>
      <x:c r="B19" s="30"/>
      <x:c r="C19" s="21" t="str">
        <x:f>IF(B19="","",TEXT(B19,"yyyy-mm"))</x:f>
      </x:c>
      <x:c r="D19" s="21"/>
      <x:c r="E19" s="21"/>
      <x:c r="F19" s="21"/>
      <x:c r="G19" s="21"/>
      <x:c r="H19" s="21"/>
      <x:c r="I19" s="21"/>
      <x:c r="J19" s="21"/>
      <x:c r="K19" s="32"/>
      <x:c r="L19" s="32"/>
      <x:c r="M19" s="32" t="str">
        <x:f>IF(F19="","",IFERROR(LOOKUP(2,1/($F$4:F18=F19),$K$4:K18),""))</x:f>
      </x:c>
      <x:c r="N19" s="36" t="str">
        <x:f>IF(OR(K19="",M19="",M19=0),"",(K19-M19)/M19)</x:f>
      </x:c>
      <x:c r="O19" s="21" t="str">
        <x:f>IF(N19="","",IF(ABS(N19)&gt;=Settings!$B$9,"ALERT",""))</x:f>
      </x:c>
      <x:c r="P19" s="21"/>
      <x:c r="Q19" s="38"/>
      <x:c r="R19" s="21"/>
      <x:c r="S19" s="21"/>
    </x:row>
    <x:row r="20">
      <x:c r="A20" s="21"/>
      <x:c r="B20" s="30"/>
      <x:c r="C20" s="21" t="str">
        <x:f>IF(B20="","",TEXT(B20,"yyyy-mm"))</x:f>
      </x:c>
      <x:c r="D20" s="21"/>
      <x:c r="E20" s="21"/>
      <x:c r="F20" s="21"/>
      <x:c r="G20" s="21"/>
      <x:c r="H20" s="21"/>
      <x:c r="I20" s="21"/>
      <x:c r="J20" s="21"/>
      <x:c r="K20" s="32"/>
      <x:c r="L20" s="32"/>
      <x:c r="M20" s="32" t="str">
        <x:f>IF(F20="","",IFERROR(LOOKUP(2,1/($F$4:F19=F20),$K$4:K19),""))</x:f>
      </x:c>
      <x:c r="N20" s="36" t="str">
        <x:f>IF(OR(K20="",M20="",M20=0),"",(K20-M20)/M20)</x:f>
      </x:c>
      <x:c r="O20" s="21" t="str">
        <x:f>IF(N20="","",IF(ABS(N20)&gt;=Settings!$B$9,"ALERT",""))</x:f>
      </x:c>
      <x:c r="P20" s="21"/>
      <x:c r="Q20" s="38"/>
      <x:c r="R20" s="21"/>
      <x:c r="S20" s="21"/>
    </x:row>
    <x:row r="21">
      <x:c r="A21" s="21"/>
      <x:c r="B21" s="30"/>
      <x:c r="C21" s="21" t="str">
        <x:f>IF(B21="","",TEXT(B21,"yyyy-mm"))</x:f>
      </x:c>
      <x:c r="D21" s="21"/>
      <x:c r="E21" s="21"/>
      <x:c r="F21" s="21"/>
      <x:c r="G21" s="21"/>
      <x:c r="H21" s="21"/>
      <x:c r="I21" s="21"/>
      <x:c r="J21" s="21"/>
      <x:c r="K21" s="32"/>
      <x:c r="L21" s="32"/>
      <x:c r="M21" s="32" t="str">
        <x:f>IF(F21="","",IFERROR(LOOKUP(2,1/($F$4:F20=F21),$K$4:K20),""))</x:f>
      </x:c>
      <x:c r="N21" s="36" t="str">
        <x:f>IF(OR(K21="",M21="",M21=0),"",(K21-M21)/M21)</x:f>
      </x:c>
      <x:c r="O21" s="21" t="str">
        <x:f>IF(N21="","",IF(ABS(N21)&gt;=Settings!$B$9,"ALERT",""))</x:f>
      </x:c>
      <x:c r="P21" s="21"/>
      <x:c r="Q21" s="38"/>
      <x:c r="R21" s="21"/>
      <x:c r="S21" s="21"/>
    </x:row>
    <x:row r="22">
      <x:c r="A22" s="21"/>
      <x:c r="B22" s="30"/>
      <x:c r="C22" s="21" t="str">
        <x:f>IF(B22="","",TEXT(B22,"yyyy-mm"))</x:f>
      </x:c>
      <x:c r="D22" s="21"/>
      <x:c r="E22" s="21"/>
      <x:c r="F22" s="21"/>
      <x:c r="G22" s="21"/>
      <x:c r="H22" s="21"/>
      <x:c r="I22" s="21"/>
      <x:c r="J22" s="21"/>
      <x:c r="K22" s="32"/>
      <x:c r="L22" s="32"/>
      <x:c r="M22" s="32" t="str">
        <x:f>IF(F22="","",IFERROR(LOOKUP(2,1/($F$4:F21=F22),$K$4:K21),""))</x:f>
      </x:c>
      <x:c r="N22" s="36" t="str">
        <x:f>IF(OR(K22="",M22="",M22=0),"",(K22-M22)/M22)</x:f>
      </x:c>
      <x:c r="O22" s="21" t="str">
        <x:f>IF(N22="","",IF(ABS(N22)&gt;=Settings!$B$9,"ALERT",""))</x:f>
      </x:c>
      <x:c r="P22" s="21"/>
      <x:c r="Q22" s="38"/>
      <x:c r="R22" s="21"/>
      <x:c r="S22" s="21"/>
    </x:row>
    <x:row r="23">
      <x:c r="A23" s="21"/>
      <x:c r="B23" s="30"/>
      <x:c r="C23" s="21" t="str">
        <x:f>IF(B23="","",TEXT(B23,"yyyy-mm"))</x:f>
      </x:c>
      <x:c r="D23" s="21"/>
      <x:c r="E23" s="21"/>
      <x:c r="F23" s="21"/>
      <x:c r="G23" s="21"/>
      <x:c r="H23" s="21"/>
      <x:c r="I23" s="21"/>
      <x:c r="J23" s="21"/>
      <x:c r="K23" s="32"/>
      <x:c r="L23" s="32"/>
      <x:c r="M23" s="32" t="str">
        <x:f>IF(F23="","",IFERROR(LOOKUP(2,1/($F$4:F22=F23),$K$4:K22),""))</x:f>
      </x:c>
      <x:c r="N23" s="36" t="str">
        <x:f>IF(OR(K23="",M23="",M23=0),"",(K23-M23)/M23)</x:f>
      </x:c>
      <x:c r="O23" s="21" t="str">
        <x:f>IF(N23="","",IF(ABS(N23)&gt;=Settings!$B$9,"ALERT",""))</x:f>
      </x:c>
      <x:c r="P23" s="21"/>
      <x:c r="Q23" s="38"/>
      <x:c r="R23" s="21"/>
      <x:c r="S23" s="21"/>
    </x:row>
    <x:row r="24">
      <x:c r="A24" s="21"/>
      <x:c r="B24" s="30"/>
      <x:c r="C24" s="21" t="str">
        <x:f>IF(B24="","",TEXT(B24,"yyyy-mm"))</x:f>
      </x:c>
      <x:c r="D24" s="21"/>
      <x:c r="E24" s="21"/>
      <x:c r="F24" s="21"/>
      <x:c r="G24" s="21"/>
      <x:c r="H24" s="21"/>
      <x:c r="I24" s="21"/>
      <x:c r="J24" s="21"/>
      <x:c r="K24" s="32"/>
      <x:c r="L24" s="32"/>
      <x:c r="M24" s="32" t="str">
        <x:f>IF(F24="","",IFERROR(LOOKUP(2,1/($F$4:F23=F24),$K$4:K23),""))</x:f>
      </x:c>
      <x:c r="N24" s="36" t="str">
        <x:f>IF(OR(K24="",M24="",M24=0),"",(K24-M24)/M24)</x:f>
      </x:c>
      <x:c r="O24" s="21" t="str">
        <x:f>IF(N24="","",IF(ABS(N24)&gt;=Settings!$B$9,"ALERT",""))</x:f>
      </x:c>
      <x:c r="P24" s="21"/>
      <x:c r="Q24" s="38"/>
      <x:c r="R24" s="21"/>
      <x:c r="S24" s="21"/>
    </x:row>
    <x:row r="25">
      <x:c r="A25" s="21"/>
      <x:c r="B25" s="30"/>
      <x:c r="C25" s="21" t="str">
        <x:f>IF(B25="","",TEXT(B25,"yyyy-mm"))</x:f>
      </x:c>
      <x:c r="D25" s="21"/>
      <x:c r="E25" s="21"/>
      <x:c r="F25" s="21"/>
      <x:c r="G25" s="21"/>
      <x:c r="H25" s="21"/>
      <x:c r="I25" s="21"/>
      <x:c r="J25" s="21"/>
      <x:c r="K25" s="32"/>
      <x:c r="L25" s="32"/>
      <x:c r="M25" s="32" t="str">
        <x:f>IF(F25="","",IFERROR(LOOKUP(2,1/($F$4:F24=F25),$K$4:K24),""))</x:f>
      </x:c>
      <x:c r="N25" s="36" t="str">
        <x:f>IF(OR(K25="",M25="",M25=0),"",(K25-M25)/M25)</x:f>
      </x:c>
      <x:c r="O25" s="21" t="str">
        <x:f>IF(N25="","",IF(ABS(N25)&gt;=Settings!$B$9,"ALERT",""))</x:f>
      </x:c>
      <x:c r="P25" s="21"/>
      <x:c r="Q25" s="38"/>
      <x:c r="R25" s="21"/>
      <x:c r="S25" s="21"/>
    </x:row>
    <x:row r="26">
      <x:c r="A26" s="21"/>
      <x:c r="B26" s="30"/>
      <x:c r="C26" s="21" t="str">
        <x:f>IF(B26="","",TEXT(B26,"yyyy-mm"))</x:f>
      </x:c>
      <x:c r="D26" s="21"/>
      <x:c r="E26" s="21"/>
      <x:c r="F26" s="21"/>
      <x:c r="G26" s="21"/>
      <x:c r="H26" s="21"/>
      <x:c r="I26" s="21"/>
      <x:c r="J26" s="21"/>
      <x:c r="K26" s="32"/>
      <x:c r="L26" s="32"/>
      <x:c r="M26" s="32" t="str">
        <x:f>IF(F26="","",IFERROR(LOOKUP(2,1/($F$4:F25=F26),$K$4:K25),""))</x:f>
      </x:c>
      <x:c r="N26" s="36" t="str">
        <x:f>IF(OR(K26="",M26="",M26=0),"",(K26-M26)/M26)</x:f>
      </x:c>
      <x:c r="O26" s="21" t="str">
        <x:f>IF(N26="","",IF(ABS(N26)&gt;=Settings!$B$9,"ALERT",""))</x:f>
      </x:c>
      <x:c r="P26" s="21"/>
      <x:c r="Q26" s="38"/>
      <x:c r="R26" s="21"/>
      <x:c r="S26" s="21"/>
    </x:row>
    <x:row r="27">
      <x:c r="A27" s="21"/>
      <x:c r="B27" s="30"/>
      <x:c r="C27" s="21" t="str">
        <x:f>IF(B27="","",TEXT(B27,"yyyy-mm"))</x:f>
      </x:c>
      <x:c r="D27" s="21"/>
      <x:c r="E27" s="21"/>
      <x:c r="F27" s="21"/>
      <x:c r="G27" s="21"/>
      <x:c r="H27" s="21"/>
      <x:c r="I27" s="21"/>
      <x:c r="J27" s="21"/>
      <x:c r="K27" s="32"/>
      <x:c r="L27" s="32"/>
      <x:c r="M27" s="32" t="str">
        <x:f>IF(F27="","",IFERROR(LOOKUP(2,1/($F$4:F26=F27),$K$4:K26),""))</x:f>
      </x:c>
      <x:c r="N27" s="36" t="str">
        <x:f>IF(OR(K27="",M27="",M27=0),"",(K27-M27)/M27)</x:f>
      </x:c>
      <x:c r="O27" s="21" t="str">
        <x:f>IF(N27="","",IF(ABS(N27)&gt;=Settings!$B$9,"ALERT",""))</x:f>
      </x:c>
      <x:c r="P27" s="21"/>
      <x:c r="Q27" s="38"/>
      <x:c r="R27" s="21"/>
      <x:c r="S27" s="21"/>
    </x:row>
    <x:row r="28">
      <x:c r="A28" s="21"/>
      <x:c r="B28" s="30"/>
      <x:c r="C28" s="21" t="str">
        <x:f>IF(B28="","",TEXT(B28,"yyyy-mm"))</x:f>
      </x:c>
      <x:c r="D28" s="21"/>
      <x:c r="E28" s="21"/>
      <x:c r="F28" s="21"/>
      <x:c r="G28" s="21"/>
      <x:c r="H28" s="21"/>
      <x:c r="I28" s="21"/>
      <x:c r="J28" s="21"/>
      <x:c r="K28" s="32"/>
      <x:c r="L28" s="32"/>
      <x:c r="M28" s="32" t="str">
        <x:f>IF(F28="","",IFERROR(LOOKUP(2,1/($F$4:F27=F28),$K$4:K27),""))</x:f>
      </x:c>
      <x:c r="N28" s="36" t="str">
        <x:f>IF(OR(K28="",M28="",M28=0),"",(K28-M28)/M28)</x:f>
      </x:c>
      <x:c r="O28" s="21" t="str">
        <x:f>IF(N28="","",IF(ABS(N28)&gt;=Settings!$B$9,"ALERT",""))</x:f>
      </x:c>
      <x:c r="P28" s="21"/>
      <x:c r="Q28" s="38"/>
      <x:c r="R28" s="21"/>
      <x:c r="S28" s="21"/>
    </x:row>
    <x:row r="29">
      <x:c r="A29" s="21"/>
      <x:c r="B29" s="30"/>
      <x:c r="C29" s="21" t="str">
        <x:f>IF(B29="","",TEXT(B29,"yyyy-mm"))</x:f>
      </x:c>
      <x:c r="D29" s="21"/>
      <x:c r="E29" s="21"/>
      <x:c r="F29" s="21"/>
      <x:c r="G29" s="21"/>
      <x:c r="H29" s="21"/>
      <x:c r="I29" s="21"/>
      <x:c r="J29" s="21"/>
      <x:c r="K29" s="32"/>
      <x:c r="L29" s="32"/>
      <x:c r="M29" s="32" t="str">
        <x:f>IF(F29="","",IFERROR(LOOKUP(2,1/($F$4:F28=F29),$K$4:K28),""))</x:f>
      </x:c>
      <x:c r="N29" s="36" t="str">
        <x:f>IF(OR(K29="",M29="",M29=0),"",(K29-M29)/M29)</x:f>
      </x:c>
      <x:c r="O29" s="21" t="str">
        <x:f>IF(N29="","",IF(ABS(N29)&gt;=Settings!$B$9,"ALERT",""))</x:f>
      </x:c>
      <x:c r="P29" s="21"/>
      <x:c r="Q29" s="38"/>
      <x:c r="R29" s="21"/>
      <x:c r="S29" s="21"/>
    </x:row>
    <x:row r="30">
      <x:c r="A30" s="21"/>
      <x:c r="B30" s="30"/>
      <x:c r="C30" s="21" t="str">
        <x:f>IF(B30="","",TEXT(B30,"yyyy-mm"))</x:f>
      </x:c>
      <x:c r="D30" s="21"/>
      <x:c r="E30" s="21"/>
      <x:c r="F30" s="21"/>
      <x:c r="G30" s="21"/>
      <x:c r="H30" s="21"/>
      <x:c r="I30" s="21"/>
      <x:c r="J30" s="21"/>
      <x:c r="K30" s="32"/>
      <x:c r="L30" s="32"/>
      <x:c r="M30" s="32" t="str">
        <x:f>IF(F30="","",IFERROR(LOOKUP(2,1/($F$4:F29=F30),$K$4:K29),""))</x:f>
      </x:c>
      <x:c r="N30" s="36" t="str">
        <x:f>IF(OR(K30="",M30="",M30=0),"",(K30-M30)/M30)</x:f>
      </x:c>
      <x:c r="O30" s="21" t="str">
        <x:f>IF(N30="","",IF(ABS(N30)&gt;=Settings!$B$9,"ALERT",""))</x:f>
      </x:c>
      <x:c r="P30" s="21"/>
      <x:c r="Q30" s="38"/>
      <x:c r="R30" s="21"/>
      <x:c r="S30" s="21"/>
    </x:row>
    <x:row r="31">
      <x:c r="A31" s="21"/>
      <x:c r="B31" s="30"/>
      <x:c r="C31" s="21" t="str">
        <x:f>IF(B31="","",TEXT(B31,"yyyy-mm"))</x:f>
      </x:c>
      <x:c r="D31" s="21"/>
      <x:c r="E31" s="21"/>
      <x:c r="F31" s="21"/>
      <x:c r="G31" s="21"/>
      <x:c r="H31" s="21"/>
      <x:c r="I31" s="21"/>
      <x:c r="J31" s="21"/>
      <x:c r="K31" s="32"/>
      <x:c r="L31" s="32"/>
      <x:c r="M31" s="32" t="str">
        <x:f>IF(F31="","",IFERROR(LOOKUP(2,1/($F$4:F30=F31),$K$4:K30),""))</x:f>
      </x:c>
      <x:c r="N31" s="36" t="str">
        <x:f>IF(OR(K31="",M31="",M31=0),"",(K31-M31)/M31)</x:f>
      </x:c>
      <x:c r="O31" s="21" t="str">
        <x:f>IF(N31="","",IF(ABS(N31)&gt;=Settings!$B$9,"ALERT",""))</x:f>
      </x:c>
      <x:c r="P31" s="21"/>
      <x:c r="Q31" s="38"/>
      <x:c r="R31" s="21"/>
      <x:c r="S31" s="21"/>
    </x:row>
    <x:row r="32">
      <x:c r="A32" s="21"/>
      <x:c r="B32" s="30"/>
      <x:c r="C32" s="21" t="str">
        <x:f>IF(B32="","",TEXT(B32,"yyyy-mm"))</x:f>
      </x:c>
      <x:c r="D32" s="21"/>
      <x:c r="E32" s="21"/>
      <x:c r="F32" s="21"/>
      <x:c r="G32" s="21"/>
      <x:c r="H32" s="21"/>
      <x:c r="I32" s="21"/>
      <x:c r="J32" s="21"/>
      <x:c r="K32" s="32"/>
      <x:c r="L32" s="32"/>
      <x:c r="M32" s="32" t="str">
        <x:f>IF(F32="","",IFERROR(LOOKUP(2,1/($F$4:F31=F32),$K$4:K31),""))</x:f>
      </x:c>
      <x:c r="N32" s="36" t="str">
        <x:f>IF(OR(K32="",M32="",M32=0),"",(K32-M32)/M32)</x:f>
      </x:c>
      <x:c r="O32" s="21" t="str">
        <x:f>IF(N32="","",IF(ABS(N32)&gt;=Settings!$B$9,"ALERT",""))</x:f>
      </x:c>
      <x:c r="P32" s="21"/>
      <x:c r="Q32" s="38"/>
      <x:c r="R32" s="21"/>
      <x:c r="S32" s="21"/>
    </x:row>
    <x:row r="33">
      <x:c r="A33" s="21"/>
      <x:c r="B33" s="30"/>
      <x:c r="C33" s="21" t="str">
        <x:f>IF(B33="","",TEXT(B33,"yyyy-mm"))</x:f>
      </x:c>
      <x:c r="D33" s="21"/>
      <x:c r="E33" s="21"/>
      <x:c r="F33" s="21"/>
      <x:c r="G33" s="21"/>
      <x:c r="H33" s="21"/>
      <x:c r="I33" s="21"/>
      <x:c r="J33" s="21"/>
      <x:c r="K33" s="32"/>
      <x:c r="L33" s="32"/>
      <x:c r="M33" s="32" t="str">
        <x:f>IF(F33="","",IFERROR(LOOKUP(2,1/($F$4:F32=F33),$K$4:K32),""))</x:f>
      </x:c>
      <x:c r="N33" s="36" t="str">
        <x:f>IF(OR(K33="",M33="",M33=0),"",(K33-M33)/M33)</x:f>
      </x:c>
      <x:c r="O33" s="21" t="str">
        <x:f>IF(N33="","",IF(ABS(N33)&gt;=Settings!$B$9,"ALERT",""))</x:f>
      </x:c>
      <x:c r="P33" s="21"/>
      <x:c r="Q33" s="38"/>
      <x:c r="R33" s="21"/>
      <x:c r="S33" s="21"/>
    </x:row>
    <x:row r="34">
      <x:c r="A34" s="21"/>
      <x:c r="B34" s="30"/>
      <x:c r="C34" s="21" t="str">
        <x:f>IF(B34="","",TEXT(B34,"yyyy-mm"))</x:f>
      </x:c>
      <x:c r="D34" s="21"/>
      <x:c r="E34" s="21"/>
      <x:c r="F34" s="21"/>
      <x:c r="G34" s="21"/>
      <x:c r="H34" s="21"/>
      <x:c r="I34" s="21"/>
      <x:c r="J34" s="21"/>
      <x:c r="K34" s="32"/>
      <x:c r="L34" s="32"/>
      <x:c r="M34" s="32" t="str">
        <x:f>IF(F34="","",IFERROR(LOOKUP(2,1/($F$4:F33=F34),$K$4:K33),""))</x:f>
      </x:c>
      <x:c r="N34" s="36" t="str">
        <x:f>IF(OR(K34="",M34="",M34=0),"",(K34-M34)/M34)</x:f>
      </x:c>
      <x:c r="O34" s="21" t="str">
        <x:f>IF(N34="","",IF(ABS(N34)&gt;=Settings!$B$9,"ALERT",""))</x:f>
      </x:c>
      <x:c r="P34" s="21"/>
      <x:c r="Q34" s="38"/>
      <x:c r="R34" s="21"/>
      <x:c r="S34" s="21"/>
    </x:row>
    <x:row r="35">
      <x:c r="A35" s="21"/>
      <x:c r="B35" s="30"/>
      <x:c r="C35" s="21" t="str">
        <x:f>IF(B35="","",TEXT(B35,"yyyy-mm"))</x:f>
      </x:c>
      <x:c r="D35" s="21"/>
      <x:c r="E35" s="21"/>
      <x:c r="F35" s="21"/>
      <x:c r="G35" s="21"/>
      <x:c r="H35" s="21"/>
      <x:c r="I35" s="21"/>
      <x:c r="J35" s="21"/>
      <x:c r="K35" s="32"/>
      <x:c r="L35" s="32"/>
      <x:c r="M35" s="32" t="str">
        <x:f>IF(F35="","",IFERROR(LOOKUP(2,1/($F$4:F34=F35),$K$4:K34),""))</x:f>
      </x:c>
      <x:c r="N35" s="36" t="str">
        <x:f>IF(OR(K35="",M35="",M35=0),"",(K35-M35)/M35)</x:f>
      </x:c>
      <x:c r="O35" s="21" t="str">
        <x:f>IF(N35="","",IF(ABS(N35)&gt;=Settings!$B$9,"ALERT",""))</x:f>
      </x:c>
      <x:c r="P35" s="21"/>
      <x:c r="Q35" s="38"/>
      <x:c r="R35" s="21"/>
      <x:c r="S35" s="21"/>
    </x:row>
    <x:row r="36">
      <x:c r="A36" s="21"/>
      <x:c r="B36" s="30"/>
      <x:c r="C36" s="21" t="str">
        <x:f>IF(B36="","",TEXT(B36,"yyyy-mm"))</x:f>
      </x:c>
      <x:c r="D36" s="21"/>
      <x:c r="E36" s="21"/>
      <x:c r="F36" s="21"/>
      <x:c r="G36" s="21"/>
      <x:c r="H36" s="21"/>
      <x:c r="I36" s="21"/>
      <x:c r="J36" s="21"/>
      <x:c r="K36" s="32"/>
      <x:c r="L36" s="32"/>
      <x:c r="M36" s="32" t="str">
        <x:f>IF(F36="","",IFERROR(LOOKUP(2,1/($F$4:F35=F36),$K$4:K35),""))</x:f>
      </x:c>
      <x:c r="N36" s="36" t="str">
        <x:f>IF(OR(K36="",M36="",M36=0),"",(K36-M36)/M36)</x:f>
      </x:c>
      <x:c r="O36" s="21" t="str">
        <x:f>IF(N36="","",IF(ABS(N36)&gt;=Settings!$B$9,"ALERT",""))</x:f>
      </x:c>
      <x:c r="P36" s="21"/>
      <x:c r="Q36" s="38"/>
      <x:c r="R36" s="21"/>
      <x:c r="S36" s="21"/>
    </x:row>
    <x:row r="37">
      <x:c r="A37" s="21"/>
      <x:c r="B37" s="30"/>
      <x:c r="C37" s="21" t="str">
        <x:f>IF(B37="","",TEXT(B37,"yyyy-mm"))</x:f>
      </x:c>
      <x:c r="D37" s="21"/>
      <x:c r="E37" s="21"/>
      <x:c r="F37" s="21"/>
      <x:c r="G37" s="21"/>
      <x:c r="H37" s="21"/>
      <x:c r="I37" s="21"/>
      <x:c r="J37" s="21"/>
      <x:c r="K37" s="32"/>
      <x:c r="L37" s="32"/>
      <x:c r="M37" s="32" t="str">
        <x:f>IF(F37="","",IFERROR(LOOKUP(2,1/($F$4:F36=F37),$K$4:K36),""))</x:f>
      </x:c>
      <x:c r="N37" s="36" t="str">
        <x:f>IF(OR(K37="",M37="",M37=0),"",(K37-M37)/M37)</x:f>
      </x:c>
      <x:c r="O37" s="21" t="str">
        <x:f>IF(N37="","",IF(ABS(N37)&gt;=Settings!$B$9,"ALERT",""))</x:f>
      </x:c>
      <x:c r="P37" s="21"/>
      <x:c r="Q37" s="38"/>
      <x:c r="R37" s="21"/>
      <x:c r="S37" s="21"/>
    </x:row>
    <x:row r="38">
      <x:c r="A38" s="21"/>
      <x:c r="B38" s="30"/>
      <x:c r="C38" s="21" t="str">
        <x:f>IF(B38="","",TEXT(B38,"yyyy-mm"))</x:f>
      </x:c>
      <x:c r="D38" s="21"/>
      <x:c r="E38" s="21"/>
      <x:c r="F38" s="21"/>
      <x:c r="G38" s="21"/>
      <x:c r="H38" s="21"/>
      <x:c r="I38" s="21"/>
      <x:c r="J38" s="21"/>
      <x:c r="K38" s="32"/>
      <x:c r="L38" s="32"/>
      <x:c r="M38" s="32" t="str">
        <x:f>IF(F38="","",IFERROR(LOOKUP(2,1/($F$4:F37=F38),$K$4:K37),""))</x:f>
      </x:c>
      <x:c r="N38" s="36" t="str">
        <x:f>IF(OR(K38="",M38="",M38=0),"",(K38-M38)/M38)</x:f>
      </x:c>
      <x:c r="O38" s="21" t="str">
        <x:f>IF(N38="","",IF(ABS(N38)&gt;=Settings!$B$9,"ALERT",""))</x:f>
      </x:c>
      <x:c r="P38" s="21"/>
      <x:c r="Q38" s="38"/>
      <x:c r="R38" s="21"/>
      <x:c r="S38" s="21"/>
    </x:row>
    <x:row r="39">
      <x:c r="A39" s="21"/>
      <x:c r="B39" s="30"/>
      <x:c r="C39" s="21" t="str">
        <x:f>IF(B39="","",TEXT(B39,"yyyy-mm"))</x:f>
      </x:c>
      <x:c r="D39" s="21"/>
      <x:c r="E39" s="21"/>
      <x:c r="F39" s="21"/>
      <x:c r="G39" s="21"/>
      <x:c r="H39" s="21"/>
      <x:c r="I39" s="21"/>
      <x:c r="J39" s="21"/>
      <x:c r="K39" s="32"/>
      <x:c r="L39" s="32"/>
      <x:c r="M39" s="32" t="str">
        <x:f>IF(F39="","",IFERROR(LOOKUP(2,1/($F$4:F38=F39),$K$4:K38),""))</x:f>
      </x:c>
      <x:c r="N39" s="36" t="str">
        <x:f>IF(OR(K39="",M39="",M39=0),"",(K39-M39)/M39)</x:f>
      </x:c>
      <x:c r="O39" s="21" t="str">
        <x:f>IF(N39="","",IF(ABS(N39)&gt;=Settings!$B$9,"ALERT",""))</x:f>
      </x:c>
      <x:c r="P39" s="21"/>
      <x:c r="Q39" s="38"/>
      <x:c r="R39" s="21"/>
      <x:c r="S39" s="21"/>
    </x:row>
    <x:row r="40">
      <x:c r="A40" s="21"/>
      <x:c r="B40" s="30"/>
      <x:c r="C40" s="21" t="str">
        <x:f>IF(B40="","",TEXT(B40,"yyyy-mm"))</x:f>
      </x:c>
      <x:c r="D40" s="21"/>
      <x:c r="E40" s="21"/>
      <x:c r="F40" s="21"/>
      <x:c r="G40" s="21"/>
      <x:c r="H40" s="21"/>
      <x:c r="I40" s="21"/>
      <x:c r="J40" s="21"/>
      <x:c r="K40" s="32"/>
      <x:c r="L40" s="32"/>
      <x:c r="M40" s="32" t="str">
        <x:f>IF(F40="","",IFERROR(LOOKUP(2,1/($F$4:F39=F40),$K$4:K39),""))</x:f>
      </x:c>
      <x:c r="N40" s="36" t="str">
        <x:f>IF(OR(K40="",M40="",M40=0),"",(K40-M40)/M40)</x:f>
      </x:c>
      <x:c r="O40" s="21" t="str">
        <x:f>IF(N40="","",IF(ABS(N40)&gt;=Settings!$B$9,"ALERT",""))</x:f>
      </x:c>
      <x:c r="P40" s="21"/>
      <x:c r="Q40" s="38"/>
      <x:c r="R40" s="21"/>
      <x:c r="S40" s="21"/>
    </x:row>
    <x:row r="41">
      <x:c r="A41" s="21"/>
      <x:c r="B41" s="30"/>
      <x:c r="C41" s="21" t="str">
        <x:f>IF(B41="","",TEXT(B41,"yyyy-mm"))</x:f>
      </x:c>
      <x:c r="D41" s="21"/>
      <x:c r="E41" s="21"/>
      <x:c r="F41" s="21"/>
      <x:c r="G41" s="21"/>
      <x:c r="H41" s="21"/>
      <x:c r="I41" s="21"/>
      <x:c r="J41" s="21"/>
      <x:c r="K41" s="32"/>
      <x:c r="L41" s="32"/>
      <x:c r="M41" s="32" t="str">
        <x:f>IF(F41="","",IFERROR(LOOKUP(2,1/($F$4:F40=F41),$K$4:K40),""))</x:f>
      </x:c>
      <x:c r="N41" s="36" t="str">
        <x:f>IF(OR(K41="",M41="",M41=0),"",(K41-M41)/M41)</x:f>
      </x:c>
      <x:c r="O41" s="21" t="str">
        <x:f>IF(N41="","",IF(ABS(N41)&gt;=Settings!$B$9,"ALERT",""))</x:f>
      </x:c>
      <x:c r="P41" s="21"/>
      <x:c r="Q41" s="38"/>
      <x:c r="R41" s="21"/>
      <x:c r="S41" s="21"/>
    </x:row>
    <x:row r="42">
      <x:c r="A42" s="21"/>
      <x:c r="B42" s="30"/>
      <x:c r="C42" s="21" t="str">
        <x:f>IF(B42="","",TEXT(B42,"yyyy-mm"))</x:f>
      </x:c>
      <x:c r="D42" s="21"/>
      <x:c r="E42" s="21"/>
      <x:c r="F42" s="21"/>
      <x:c r="G42" s="21"/>
      <x:c r="H42" s="21"/>
      <x:c r="I42" s="21"/>
      <x:c r="J42" s="21"/>
      <x:c r="K42" s="32"/>
      <x:c r="L42" s="32"/>
      <x:c r="M42" s="32" t="str">
        <x:f>IF(F42="","",IFERROR(LOOKUP(2,1/($F$4:F41=F42),$K$4:K41),""))</x:f>
      </x:c>
      <x:c r="N42" s="36" t="str">
        <x:f>IF(OR(K42="",M42="",M42=0),"",(K42-M42)/M42)</x:f>
      </x:c>
      <x:c r="O42" s="21" t="str">
        <x:f>IF(N42="","",IF(ABS(N42)&gt;=Settings!$B$9,"ALERT",""))</x:f>
      </x:c>
      <x:c r="P42" s="21"/>
      <x:c r="Q42" s="38"/>
      <x:c r="R42" s="21"/>
      <x:c r="S42" s="21"/>
    </x:row>
    <x:row r="43">
      <x:c r="A43" s="21"/>
      <x:c r="B43" s="30"/>
      <x:c r="C43" s="21" t="str">
        <x:f>IF(B43="","",TEXT(B43,"yyyy-mm"))</x:f>
      </x:c>
      <x:c r="D43" s="21"/>
      <x:c r="E43" s="21"/>
      <x:c r="F43" s="21"/>
      <x:c r="G43" s="21"/>
      <x:c r="H43" s="21"/>
      <x:c r="I43" s="21"/>
      <x:c r="J43" s="21"/>
      <x:c r="K43" s="32"/>
      <x:c r="L43" s="32"/>
      <x:c r="M43" s="32" t="str">
        <x:f>IF(F43="","",IFERROR(LOOKUP(2,1/($F$4:F42=F43),$K$4:K42),""))</x:f>
      </x:c>
      <x:c r="N43" s="36" t="str">
        <x:f>IF(OR(K43="",M43="",M43=0),"",(K43-M43)/M43)</x:f>
      </x:c>
      <x:c r="O43" s="21" t="str">
        <x:f>IF(N43="","",IF(ABS(N43)&gt;=Settings!$B$9,"ALERT",""))</x:f>
      </x:c>
      <x:c r="P43" s="21"/>
      <x:c r="Q43" s="38"/>
      <x:c r="R43" s="21"/>
      <x:c r="S43" s="21"/>
    </x:row>
    <x:row r="44">
      <x:c r="A44" s="21"/>
      <x:c r="B44" s="30"/>
      <x:c r="C44" s="21" t="str">
        <x:f>IF(B44="","",TEXT(B44,"yyyy-mm"))</x:f>
      </x:c>
      <x:c r="D44" s="21"/>
      <x:c r="E44" s="21"/>
      <x:c r="F44" s="21"/>
      <x:c r="G44" s="21"/>
      <x:c r="H44" s="21"/>
      <x:c r="I44" s="21"/>
      <x:c r="J44" s="21"/>
      <x:c r="K44" s="32"/>
      <x:c r="L44" s="32"/>
      <x:c r="M44" s="32" t="str">
        <x:f>IF(F44="","",IFERROR(LOOKUP(2,1/($F$4:F43=F44),$K$4:K43),""))</x:f>
      </x:c>
      <x:c r="N44" s="36" t="str">
        <x:f>IF(OR(K44="",M44="",M44=0),"",(K44-M44)/M44)</x:f>
      </x:c>
      <x:c r="O44" s="21" t="str">
        <x:f>IF(N44="","",IF(ABS(N44)&gt;=Settings!$B$9,"ALERT",""))</x:f>
      </x:c>
      <x:c r="P44" s="21"/>
      <x:c r="Q44" s="38"/>
      <x:c r="R44" s="21"/>
      <x:c r="S44" s="21"/>
    </x:row>
    <x:row r="45">
      <x:c r="A45" s="21"/>
      <x:c r="B45" s="30"/>
      <x:c r="C45" s="21" t="str">
        <x:f>IF(B45="","",TEXT(B45,"yyyy-mm"))</x:f>
      </x:c>
      <x:c r="D45" s="21"/>
      <x:c r="E45" s="21"/>
      <x:c r="F45" s="21"/>
      <x:c r="G45" s="21"/>
      <x:c r="H45" s="21"/>
      <x:c r="I45" s="21"/>
      <x:c r="J45" s="21"/>
      <x:c r="K45" s="32"/>
      <x:c r="L45" s="32"/>
      <x:c r="M45" s="32" t="str">
        <x:f>IF(F45="","",IFERROR(LOOKUP(2,1/($F$4:F44=F45),$K$4:K44),""))</x:f>
      </x:c>
      <x:c r="N45" s="36" t="str">
        <x:f>IF(OR(K45="",M45="",M45=0),"",(K45-M45)/M45)</x:f>
      </x:c>
      <x:c r="O45" s="21" t="str">
        <x:f>IF(N45="","",IF(ABS(N45)&gt;=Settings!$B$9,"ALERT",""))</x:f>
      </x:c>
      <x:c r="P45" s="21"/>
      <x:c r="Q45" s="38"/>
      <x:c r="R45" s="21"/>
      <x:c r="S45" s="21"/>
    </x:row>
    <x:row r="46">
      <x:c r="A46" s="21"/>
      <x:c r="B46" s="30"/>
      <x:c r="C46" s="21" t="str">
        <x:f>IF(B46="","",TEXT(B46,"yyyy-mm"))</x:f>
      </x:c>
      <x:c r="D46" s="21"/>
      <x:c r="E46" s="21"/>
      <x:c r="F46" s="21"/>
      <x:c r="G46" s="21"/>
      <x:c r="H46" s="21"/>
      <x:c r="I46" s="21"/>
      <x:c r="J46" s="21"/>
      <x:c r="K46" s="32"/>
      <x:c r="L46" s="32"/>
      <x:c r="M46" s="32" t="str">
        <x:f>IF(F46="","",IFERROR(LOOKUP(2,1/($F$4:F45=F46),$K$4:K45),""))</x:f>
      </x:c>
      <x:c r="N46" s="36" t="str">
        <x:f>IF(OR(K46="",M46="",M46=0),"",(K46-M46)/M46)</x:f>
      </x:c>
      <x:c r="O46" s="21" t="str">
        <x:f>IF(N46="","",IF(ABS(N46)&gt;=Settings!$B$9,"ALERT",""))</x:f>
      </x:c>
      <x:c r="P46" s="21"/>
      <x:c r="Q46" s="38"/>
      <x:c r="R46" s="21"/>
      <x:c r="S46" s="21"/>
    </x:row>
    <x:row r="47">
      <x:c r="A47" s="21"/>
      <x:c r="B47" s="30"/>
      <x:c r="C47" s="21" t="str">
        <x:f>IF(B47="","",TEXT(B47,"yyyy-mm"))</x:f>
      </x:c>
      <x:c r="D47" s="21"/>
      <x:c r="E47" s="21"/>
      <x:c r="F47" s="21"/>
      <x:c r="G47" s="21"/>
      <x:c r="H47" s="21"/>
      <x:c r="I47" s="21"/>
      <x:c r="J47" s="21"/>
      <x:c r="K47" s="32"/>
      <x:c r="L47" s="32"/>
      <x:c r="M47" s="32" t="str">
        <x:f>IF(F47="","",IFERROR(LOOKUP(2,1/($F$4:F46=F47),$K$4:K46),""))</x:f>
      </x:c>
      <x:c r="N47" s="36" t="str">
        <x:f>IF(OR(K47="",M47="",M47=0),"",(K47-M47)/M47)</x:f>
      </x:c>
      <x:c r="O47" s="21" t="str">
        <x:f>IF(N47="","",IF(ABS(N47)&gt;=Settings!$B$9,"ALERT",""))</x:f>
      </x:c>
      <x:c r="P47" s="21"/>
      <x:c r="Q47" s="38"/>
      <x:c r="R47" s="21"/>
      <x:c r="S47" s="21"/>
    </x:row>
    <x:row r="48">
      <x:c r="A48" s="21"/>
      <x:c r="B48" s="30"/>
      <x:c r="C48" s="21" t="str">
        <x:f>IF(B48="","",TEXT(B48,"yyyy-mm"))</x:f>
      </x:c>
      <x:c r="D48" s="21"/>
      <x:c r="E48" s="21"/>
      <x:c r="F48" s="21"/>
      <x:c r="G48" s="21"/>
      <x:c r="H48" s="21"/>
      <x:c r="I48" s="21"/>
      <x:c r="J48" s="21"/>
      <x:c r="K48" s="32"/>
      <x:c r="L48" s="32"/>
      <x:c r="M48" s="32" t="str">
        <x:f>IF(F48="","",IFERROR(LOOKUP(2,1/($F$4:F47=F48),$K$4:K47),""))</x:f>
      </x:c>
      <x:c r="N48" s="36" t="str">
        <x:f>IF(OR(K48="",M48="",M48=0),"",(K48-M48)/M48)</x:f>
      </x:c>
      <x:c r="O48" s="21" t="str">
        <x:f>IF(N48="","",IF(ABS(N48)&gt;=Settings!$B$9,"ALERT",""))</x:f>
      </x:c>
      <x:c r="P48" s="21"/>
      <x:c r="Q48" s="38"/>
      <x:c r="R48" s="21"/>
      <x:c r="S48" s="21"/>
    </x:row>
    <x:row r="49">
      <x:c r="A49" s="21"/>
      <x:c r="B49" s="30"/>
      <x:c r="C49" s="21" t="str">
        <x:f>IF(B49="","",TEXT(B49,"yyyy-mm"))</x:f>
      </x:c>
      <x:c r="D49" s="21"/>
      <x:c r="E49" s="21"/>
      <x:c r="F49" s="21"/>
      <x:c r="G49" s="21"/>
      <x:c r="H49" s="21"/>
      <x:c r="I49" s="21"/>
      <x:c r="J49" s="21"/>
      <x:c r="K49" s="32"/>
      <x:c r="L49" s="32"/>
      <x:c r="M49" s="32" t="str">
        <x:f>IF(F49="","",IFERROR(LOOKUP(2,1/($F$4:F48=F49),$K$4:K48),""))</x:f>
      </x:c>
      <x:c r="N49" s="36" t="str">
        <x:f>IF(OR(K49="",M49="",M49=0),"",(K49-M49)/M49)</x:f>
      </x:c>
      <x:c r="O49" s="21" t="str">
        <x:f>IF(N49="","",IF(ABS(N49)&gt;=Settings!$B$9,"ALERT",""))</x:f>
      </x:c>
      <x:c r="P49" s="21"/>
      <x:c r="Q49" s="38"/>
      <x:c r="R49" s="21"/>
      <x:c r="S49" s="21"/>
    </x:row>
    <x:row r="50">
      <x:c r="A50" s="21"/>
      <x:c r="B50" s="30"/>
      <x:c r="C50" s="21" t="str">
        <x:f>IF(B50="","",TEXT(B50,"yyyy-mm"))</x:f>
      </x:c>
      <x:c r="D50" s="21"/>
      <x:c r="E50" s="21"/>
      <x:c r="F50" s="21"/>
      <x:c r="G50" s="21"/>
      <x:c r="H50" s="21"/>
      <x:c r="I50" s="21"/>
      <x:c r="J50" s="21"/>
      <x:c r="K50" s="32"/>
      <x:c r="L50" s="32"/>
      <x:c r="M50" s="32" t="str">
        <x:f>IF(F50="","",IFERROR(LOOKUP(2,1/($F$4:F49=F50),$K$4:K49),""))</x:f>
      </x:c>
      <x:c r="N50" s="36" t="str">
        <x:f>IF(OR(K50="",M50="",M50=0),"",(K50-M50)/M50)</x:f>
      </x:c>
      <x:c r="O50" s="21" t="str">
        <x:f>IF(N50="","",IF(ABS(N50)&gt;=Settings!$B$9,"ALERT",""))</x:f>
      </x:c>
      <x:c r="P50" s="21"/>
      <x:c r="Q50" s="38"/>
      <x:c r="R50" s="21"/>
      <x:c r="S50" s="21"/>
    </x:row>
    <x:row r="51">
      <x:c r="A51" s="21"/>
      <x:c r="B51" s="30"/>
      <x:c r="C51" s="21" t="str">
        <x:f>IF(B51="","",TEXT(B51,"yyyy-mm"))</x:f>
      </x:c>
      <x:c r="D51" s="21"/>
      <x:c r="E51" s="21"/>
      <x:c r="F51" s="21"/>
      <x:c r="G51" s="21"/>
      <x:c r="H51" s="21"/>
      <x:c r="I51" s="21"/>
      <x:c r="J51" s="21"/>
      <x:c r="K51" s="32"/>
      <x:c r="L51" s="32"/>
      <x:c r="M51" s="32" t="str">
        <x:f>IF(F51="","",IFERROR(LOOKUP(2,1/($F$4:F50=F51),$K$4:K50),""))</x:f>
      </x:c>
      <x:c r="N51" s="36" t="str">
        <x:f>IF(OR(K51="",M51="",M51=0),"",(K51-M51)/M51)</x:f>
      </x:c>
      <x:c r="O51" s="21" t="str">
        <x:f>IF(N51="","",IF(ABS(N51)&gt;=Settings!$B$9,"ALERT",""))</x:f>
      </x:c>
      <x:c r="P51" s="21"/>
      <x:c r="Q51" s="38"/>
      <x:c r="R51" s="21"/>
      <x:c r="S51" s="21"/>
    </x:row>
    <x:row r="52">
      <x:c r="A52" s="21"/>
      <x:c r="B52" s="30"/>
      <x:c r="C52" s="21" t="str">
        <x:f>IF(B52="","",TEXT(B52,"yyyy-mm"))</x:f>
      </x:c>
      <x:c r="D52" s="21"/>
      <x:c r="E52" s="21"/>
      <x:c r="F52" s="21"/>
      <x:c r="G52" s="21"/>
      <x:c r="H52" s="21"/>
      <x:c r="I52" s="21"/>
      <x:c r="J52" s="21"/>
      <x:c r="K52" s="32"/>
      <x:c r="L52" s="32"/>
      <x:c r="M52" s="32" t="str">
        <x:f>IF(F52="","",IFERROR(LOOKUP(2,1/($F$4:F51=F52),$K$4:K51),""))</x:f>
      </x:c>
      <x:c r="N52" s="36" t="str">
        <x:f>IF(OR(K52="",M52="",M52=0),"",(K52-M52)/M52)</x:f>
      </x:c>
      <x:c r="O52" s="21" t="str">
        <x:f>IF(N52="","",IF(ABS(N52)&gt;=Settings!$B$9,"ALERT",""))</x:f>
      </x:c>
      <x:c r="P52" s="21"/>
      <x:c r="Q52" s="38"/>
      <x:c r="R52" s="21"/>
      <x:c r="S52" s="21"/>
    </x:row>
    <x:row r="53">
      <x:c r="A53" s="21"/>
      <x:c r="B53" s="30"/>
      <x:c r="C53" s="21" t="str">
        <x:f>IF(B53="","",TEXT(B53,"yyyy-mm"))</x:f>
      </x:c>
      <x:c r="D53" s="21"/>
      <x:c r="E53" s="21"/>
      <x:c r="F53" s="21"/>
      <x:c r="G53" s="21"/>
      <x:c r="H53" s="21"/>
      <x:c r="I53" s="21"/>
      <x:c r="J53" s="21"/>
      <x:c r="K53" s="32"/>
      <x:c r="L53" s="32"/>
      <x:c r="M53" s="32" t="str">
        <x:f>IF(F53="","",IFERROR(LOOKUP(2,1/($F$4:F52=F53),$K$4:K52),""))</x:f>
      </x:c>
      <x:c r="N53" s="36" t="str">
        <x:f>IF(OR(K53="",M53="",M53=0),"",(K53-M53)/M53)</x:f>
      </x:c>
      <x:c r="O53" s="21" t="str">
        <x:f>IF(N53="","",IF(ABS(N53)&gt;=Settings!$B$9,"ALERT",""))</x:f>
      </x:c>
      <x:c r="P53" s="21"/>
      <x:c r="Q53" s="38"/>
      <x:c r="R53" s="21"/>
      <x:c r="S53" s="21"/>
    </x:row>
    <x:row r="54">
      <x:c r="A54" s="21"/>
      <x:c r="B54" s="30"/>
      <x:c r="C54" s="21" t="str">
        <x:f>IF(B54="","",TEXT(B54,"yyyy-mm"))</x:f>
      </x:c>
      <x:c r="D54" s="21"/>
      <x:c r="E54" s="21"/>
      <x:c r="F54" s="21"/>
      <x:c r="G54" s="21"/>
      <x:c r="H54" s="21"/>
      <x:c r="I54" s="21"/>
      <x:c r="J54" s="21"/>
      <x:c r="K54" s="32"/>
      <x:c r="L54" s="32"/>
      <x:c r="M54" s="32" t="str">
        <x:f>IF(F54="","",IFERROR(LOOKUP(2,1/($F$4:F53=F54),$K$4:K53),""))</x:f>
      </x:c>
      <x:c r="N54" s="36" t="str">
        <x:f>IF(OR(K54="",M54="",M54=0),"",(K54-M54)/M54)</x:f>
      </x:c>
      <x:c r="O54" s="21" t="str">
        <x:f>IF(N54="","",IF(ABS(N54)&gt;=Settings!$B$9,"ALERT",""))</x:f>
      </x:c>
      <x:c r="P54" s="21"/>
      <x:c r="Q54" s="38"/>
      <x:c r="R54" s="21"/>
      <x:c r="S54" s="21"/>
    </x:row>
    <x:row r="55">
      <x:c r="A55" s="21"/>
      <x:c r="B55" s="30"/>
      <x:c r="C55" s="21" t="str">
        <x:f>IF(B55="","",TEXT(B55,"yyyy-mm"))</x:f>
      </x:c>
      <x:c r="D55" s="21"/>
      <x:c r="E55" s="21"/>
      <x:c r="F55" s="21"/>
      <x:c r="G55" s="21"/>
      <x:c r="H55" s="21"/>
      <x:c r="I55" s="21"/>
      <x:c r="J55" s="21"/>
      <x:c r="K55" s="32"/>
      <x:c r="L55" s="32"/>
      <x:c r="M55" s="32" t="str">
        <x:f>IF(F55="","",IFERROR(LOOKUP(2,1/($F$4:F54=F55),$K$4:K54),""))</x:f>
      </x:c>
      <x:c r="N55" s="36" t="str">
        <x:f>IF(OR(K55="",M55="",M55=0),"",(K55-M55)/M55)</x:f>
      </x:c>
      <x:c r="O55" s="21" t="str">
        <x:f>IF(N55="","",IF(ABS(N55)&gt;=Settings!$B$9,"ALERT",""))</x:f>
      </x:c>
      <x:c r="P55" s="21"/>
      <x:c r="Q55" s="38"/>
      <x:c r="R55" s="21"/>
      <x:c r="S55" s="21"/>
    </x:row>
    <x:row r="56">
      <x:c r="A56" s="21"/>
      <x:c r="B56" s="30"/>
      <x:c r="C56" s="21" t="str">
        <x:f>IF(B56="","",TEXT(B56,"yyyy-mm"))</x:f>
      </x:c>
      <x:c r="D56" s="21"/>
      <x:c r="E56" s="21"/>
      <x:c r="F56" s="21"/>
      <x:c r="G56" s="21"/>
      <x:c r="H56" s="21"/>
      <x:c r="I56" s="21"/>
      <x:c r="J56" s="21"/>
      <x:c r="K56" s="32"/>
      <x:c r="L56" s="32"/>
      <x:c r="M56" s="32" t="str">
        <x:f>IF(F56="","",IFERROR(LOOKUP(2,1/($F$4:F55=F56),$K$4:K55),""))</x:f>
      </x:c>
      <x:c r="N56" s="36" t="str">
        <x:f>IF(OR(K56="",M56="",M56=0),"",(K56-M56)/M56)</x:f>
      </x:c>
      <x:c r="O56" s="21" t="str">
        <x:f>IF(N56="","",IF(ABS(N56)&gt;=Settings!$B$9,"ALERT",""))</x:f>
      </x:c>
      <x:c r="P56" s="21"/>
      <x:c r="Q56" s="38"/>
      <x:c r="R56" s="21"/>
      <x:c r="S56" s="21"/>
    </x:row>
    <x:row r="57">
      <x:c r="A57" s="21"/>
      <x:c r="B57" s="30"/>
      <x:c r="C57" s="21" t="str">
        <x:f>IF(B57="","",TEXT(B57,"yyyy-mm"))</x:f>
      </x:c>
      <x:c r="D57" s="21"/>
      <x:c r="E57" s="21"/>
      <x:c r="F57" s="21"/>
      <x:c r="G57" s="21"/>
      <x:c r="H57" s="21"/>
      <x:c r="I57" s="21"/>
      <x:c r="J57" s="21"/>
      <x:c r="K57" s="32"/>
      <x:c r="L57" s="32"/>
      <x:c r="M57" s="32" t="str">
        <x:f>IF(F57="","",IFERROR(LOOKUP(2,1/($F$4:F56=F57),$K$4:K56),""))</x:f>
      </x:c>
      <x:c r="N57" s="36" t="str">
        <x:f>IF(OR(K57="",M57="",M57=0),"",(K57-M57)/M57)</x:f>
      </x:c>
      <x:c r="O57" s="21" t="str">
        <x:f>IF(N57="","",IF(ABS(N57)&gt;=Settings!$B$9,"ALERT",""))</x:f>
      </x:c>
      <x:c r="P57" s="21"/>
      <x:c r="Q57" s="38"/>
      <x:c r="R57" s="21"/>
      <x:c r="S57" s="21"/>
    </x:row>
    <x:row r="58">
      <x:c r="A58" s="21"/>
      <x:c r="B58" s="30"/>
      <x:c r="C58" s="21" t="str">
        <x:f>IF(B58="","",TEXT(B58,"yyyy-mm"))</x:f>
      </x:c>
      <x:c r="D58" s="21"/>
      <x:c r="E58" s="21"/>
      <x:c r="F58" s="21"/>
      <x:c r="G58" s="21"/>
      <x:c r="H58" s="21"/>
      <x:c r="I58" s="21"/>
      <x:c r="J58" s="21"/>
      <x:c r="K58" s="32"/>
      <x:c r="L58" s="32"/>
      <x:c r="M58" s="32" t="str">
        <x:f>IF(F58="","",IFERROR(LOOKUP(2,1/($F$4:F57=F58),$K$4:K57),""))</x:f>
      </x:c>
      <x:c r="N58" s="36" t="str">
        <x:f>IF(OR(K58="",M58="",M58=0),"",(K58-M58)/M58)</x:f>
      </x:c>
      <x:c r="O58" s="21" t="str">
        <x:f>IF(N58="","",IF(ABS(N58)&gt;=Settings!$B$9,"ALERT",""))</x:f>
      </x:c>
      <x:c r="P58" s="21"/>
      <x:c r="Q58" s="38"/>
      <x:c r="R58" s="21"/>
      <x:c r="S58" s="21"/>
    </x:row>
    <x:row r="59">
      <x:c r="A59" s="21"/>
      <x:c r="B59" s="30"/>
      <x:c r="C59" s="21" t="str">
        <x:f>IF(B59="","",TEXT(B59,"yyyy-mm"))</x:f>
      </x:c>
      <x:c r="D59" s="21"/>
      <x:c r="E59" s="21"/>
      <x:c r="F59" s="21"/>
      <x:c r="G59" s="21"/>
      <x:c r="H59" s="21"/>
      <x:c r="I59" s="21"/>
      <x:c r="J59" s="21"/>
      <x:c r="K59" s="32"/>
      <x:c r="L59" s="32"/>
      <x:c r="M59" s="32" t="str">
        <x:f>IF(F59="","",IFERROR(LOOKUP(2,1/($F$4:F58=F59),$K$4:K58),""))</x:f>
      </x:c>
      <x:c r="N59" s="36" t="str">
        <x:f>IF(OR(K59="",M59="",M59=0),"",(K59-M59)/M59)</x:f>
      </x:c>
      <x:c r="O59" s="21" t="str">
        <x:f>IF(N59="","",IF(ABS(N59)&gt;=Settings!$B$9,"ALERT",""))</x:f>
      </x:c>
      <x:c r="P59" s="21"/>
      <x:c r="Q59" s="38"/>
      <x:c r="R59" s="21"/>
      <x:c r="S59" s="21"/>
    </x:row>
    <x:row r="60">
      <x:c r="A60" s="21"/>
      <x:c r="B60" s="30"/>
      <x:c r="C60" s="21" t="str">
        <x:f>IF(B60="","",TEXT(B60,"yyyy-mm"))</x:f>
      </x:c>
      <x:c r="D60" s="21"/>
      <x:c r="E60" s="21"/>
      <x:c r="F60" s="21"/>
      <x:c r="G60" s="21"/>
      <x:c r="H60" s="21"/>
      <x:c r="I60" s="21"/>
      <x:c r="J60" s="21"/>
      <x:c r="K60" s="32"/>
      <x:c r="L60" s="32"/>
      <x:c r="M60" s="32" t="str">
        <x:f>IF(F60="","",IFERROR(LOOKUP(2,1/($F$4:F59=F60),$K$4:K59),""))</x:f>
      </x:c>
      <x:c r="N60" s="36" t="str">
        <x:f>IF(OR(K60="",M60="",M60=0),"",(K60-M60)/M60)</x:f>
      </x:c>
      <x:c r="O60" s="21" t="str">
        <x:f>IF(N60="","",IF(ABS(N60)&gt;=Settings!$B$9,"ALERT",""))</x:f>
      </x:c>
      <x:c r="P60" s="21"/>
      <x:c r="Q60" s="38"/>
      <x:c r="R60" s="21"/>
      <x:c r="S60" s="21"/>
    </x:row>
    <x:row r="61">
      <x:c r="A61" s="21"/>
      <x:c r="B61" s="30"/>
      <x:c r="C61" s="21" t="str">
        <x:f>IF(B61="","",TEXT(B61,"yyyy-mm"))</x:f>
      </x:c>
      <x:c r="D61" s="21"/>
      <x:c r="E61" s="21"/>
      <x:c r="F61" s="21"/>
      <x:c r="G61" s="21"/>
      <x:c r="H61" s="21"/>
      <x:c r="I61" s="21"/>
      <x:c r="J61" s="21"/>
      <x:c r="K61" s="32"/>
      <x:c r="L61" s="32"/>
      <x:c r="M61" s="32" t="str">
        <x:f>IF(F61="","",IFERROR(LOOKUP(2,1/($F$4:F60=F61),$K$4:K60),""))</x:f>
      </x:c>
      <x:c r="N61" s="36" t="str">
        <x:f>IF(OR(K61="",M61="",M61=0),"",(K61-M61)/M61)</x:f>
      </x:c>
      <x:c r="O61" s="21" t="str">
        <x:f>IF(N61="","",IF(ABS(N61)&gt;=Settings!$B$9,"ALERT",""))</x:f>
      </x:c>
      <x:c r="P61" s="21"/>
      <x:c r="Q61" s="38"/>
      <x:c r="R61" s="21"/>
      <x:c r="S61" s="21"/>
    </x:row>
    <x:row r="62">
      <x:c r="A62" s="21"/>
      <x:c r="B62" s="30"/>
      <x:c r="C62" s="21" t="str">
        <x:f>IF(B62="","",TEXT(B62,"yyyy-mm"))</x:f>
      </x:c>
      <x:c r="D62" s="21"/>
      <x:c r="E62" s="21"/>
      <x:c r="F62" s="21"/>
      <x:c r="G62" s="21"/>
      <x:c r="H62" s="21"/>
      <x:c r="I62" s="21"/>
      <x:c r="J62" s="21"/>
      <x:c r="K62" s="32"/>
      <x:c r="L62" s="32"/>
      <x:c r="M62" s="32" t="str">
        <x:f>IF(F62="","",IFERROR(LOOKUP(2,1/($F$4:F61=F62),$K$4:K61),""))</x:f>
      </x:c>
      <x:c r="N62" s="36" t="str">
        <x:f>IF(OR(K62="",M62="",M62=0),"",(K62-M62)/M62)</x:f>
      </x:c>
      <x:c r="O62" s="21" t="str">
        <x:f>IF(N62="","",IF(ABS(N62)&gt;=Settings!$B$9,"ALERT",""))</x:f>
      </x:c>
      <x:c r="P62" s="21"/>
      <x:c r="Q62" s="38"/>
      <x:c r="R62" s="21"/>
      <x:c r="S62" s="21"/>
    </x:row>
    <x:row r="63">
      <x:c r="A63" s="21"/>
      <x:c r="B63" s="30"/>
      <x:c r="C63" s="21" t="str">
        <x:f>IF(B63="","",TEXT(B63,"yyyy-mm"))</x:f>
      </x:c>
      <x:c r="D63" s="21"/>
      <x:c r="E63" s="21"/>
      <x:c r="F63" s="21"/>
      <x:c r="G63" s="21"/>
      <x:c r="H63" s="21"/>
      <x:c r="I63" s="21"/>
      <x:c r="J63" s="21"/>
      <x:c r="K63" s="32"/>
      <x:c r="L63" s="32"/>
      <x:c r="M63" s="32" t="str">
        <x:f>IF(F63="","",IFERROR(LOOKUP(2,1/($F$4:F62=F63),$K$4:K62),""))</x:f>
      </x:c>
      <x:c r="N63" s="36" t="str">
        <x:f>IF(OR(K63="",M63="",M63=0),"",(K63-M63)/M63)</x:f>
      </x:c>
      <x:c r="O63" s="21" t="str">
        <x:f>IF(N63="","",IF(ABS(N63)&gt;=Settings!$B$9,"ALERT",""))</x:f>
      </x:c>
      <x:c r="P63" s="21"/>
      <x:c r="Q63" s="38"/>
      <x:c r="R63" s="21"/>
      <x:c r="S63" s="21"/>
    </x:row>
    <x:row r="64">
      <x:c r="A64" s="21"/>
      <x:c r="B64" s="30"/>
      <x:c r="C64" s="21" t="str">
        <x:f>IF(B64="","",TEXT(B64,"yyyy-mm"))</x:f>
      </x:c>
      <x:c r="D64" s="21"/>
      <x:c r="E64" s="21"/>
      <x:c r="F64" s="21"/>
      <x:c r="G64" s="21"/>
      <x:c r="H64" s="21"/>
      <x:c r="I64" s="21"/>
      <x:c r="J64" s="21"/>
      <x:c r="K64" s="32"/>
      <x:c r="L64" s="32"/>
      <x:c r="M64" s="32" t="str">
        <x:f>IF(F64="","",IFERROR(LOOKUP(2,1/($F$4:F63=F64),$K$4:K63),""))</x:f>
      </x:c>
      <x:c r="N64" s="36" t="str">
        <x:f>IF(OR(K64="",M64="",M64=0),"",(K64-M64)/M64)</x:f>
      </x:c>
      <x:c r="O64" s="21" t="str">
        <x:f>IF(N64="","",IF(ABS(N64)&gt;=Settings!$B$9,"ALERT",""))</x:f>
      </x:c>
      <x:c r="P64" s="21"/>
      <x:c r="Q64" s="38"/>
      <x:c r="R64" s="21"/>
      <x:c r="S64" s="21"/>
    </x:row>
    <x:row r="65">
      <x:c r="A65" s="21"/>
      <x:c r="B65" s="30"/>
      <x:c r="C65" s="21" t="str">
        <x:f>IF(B65="","",TEXT(B65,"yyyy-mm"))</x:f>
      </x:c>
      <x:c r="D65" s="21"/>
      <x:c r="E65" s="21"/>
      <x:c r="F65" s="21"/>
      <x:c r="G65" s="21"/>
      <x:c r="H65" s="21"/>
      <x:c r="I65" s="21"/>
      <x:c r="J65" s="21"/>
      <x:c r="K65" s="32"/>
      <x:c r="L65" s="32"/>
      <x:c r="M65" s="32" t="str">
        <x:f>IF(F65="","",IFERROR(LOOKUP(2,1/($F$4:F64=F65),$K$4:K64),""))</x:f>
      </x:c>
      <x:c r="N65" s="36" t="str">
        <x:f>IF(OR(K65="",M65="",M65=0),"",(K65-M65)/M65)</x:f>
      </x:c>
      <x:c r="O65" s="21" t="str">
        <x:f>IF(N65="","",IF(ABS(N65)&gt;=Settings!$B$9,"ALERT",""))</x:f>
      </x:c>
      <x:c r="P65" s="21"/>
      <x:c r="Q65" s="38"/>
      <x:c r="R65" s="21"/>
      <x:c r="S65" s="21"/>
    </x:row>
    <x:row r="66">
      <x:c r="A66" s="21"/>
      <x:c r="B66" s="30"/>
      <x:c r="C66" s="21" t="str">
        <x:f>IF(B66="","",TEXT(B66,"yyyy-mm"))</x:f>
      </x:c>
      <x:c r="D66" s="21"/>
      <x:c r="E66" s="21"/>
      <x:c r="F66" s="21"/>
      <x:c r="G66" s="21"/>
      <x:c r="H66" s="21"/>
      <x:c r="I66" s="21"/>
      <x:c r="J66" s="21"/>
      <x:c r="K66" s="32"/>
      <x:c r="L66" s="32"/>
      <x:c r="M66" s="32" t="str">
        <x:f>IF(F66="","",IFERROR(LOOKUP(2,1/($F$4:F65=F66),$K$4:K65),""))</x:f>
      </x:c>
      <x:c r="N66" s="36" t="str">
        <x:f>IF(OR(K66="",M66="",M66=0),"",(K66-M66)/M66)</x:f>
      </x:c>
      <x:c r="O66" s="21" t="str">
        <x:f>IF(N66="","",IF(ABS(N66)&gt;=Settings!$B$9,"ALERT",""))</x:f>
      </x:c>
      <x:c r="P66" s="21"/>
      <x:c r="Q66" s="38"/>
      <x:c r="R66" s="21"/>
      <x:c r="S66" s="21"/>
    </x:row>
    <x:row r="67">
      <x:c r="A67" s="21"/>
      <x:c r="B67" s="30"/>
      <x:c r="C67" s="21" t="str">
        <x:f>IF(B67="","",TEXT(B67,"yyyy-mm"))</x:f>
      </x:c>
      <x:c r="D67" s="21"/>
      <x:c r="E67" s="21"/>
      <x:c r="F67" s="21"/>
      <x:c r="G67" s="21"/>
      <x:c r="H67" s="21"/>
      <x:c r="I67" s="21"/>
      <x:c r="J67" s="21"/>
      <x:c r="K67" s="32"/>
      <x:c r="L67" s="32"/>
      <x:c r="M67" s="32" t="str">
        <x:f>IF(F67="","",IFERROR(LOOKUP(2,1/($F$4:F66=F67),$K$4:K66),""))</x:f>
      </x:c>
      <x:c r="N67" s="36" t="str">
        <x:f>IF(OR(K67="",M67="",M67=0),"",(K67-M67)/M67)</x:f>
      </x:c>
      <x:c r="O67" s="21" t="str">
        <x:f>IF(N67="","",IF(ABS(N67)&gt;=Settings!$B$9,"ALERT",""))</x:f>
      </x:c>
      <x:c r="P67" s="21"/>
      <x:c r="Q67" s="38"/>
      <x:c r="R67" s="21"/>
      <x:c r="S67" s="21"/>
    </x:row>
    <x:row r="68">
      <x:c r="A68" s="21"/>
      <x:c r="B68" s="30"/>
      <x:c r="C68" s="21" t="str">
        <x:f>IF(B68="","",TEXT(B68,"yyyy-mm"))</x:f>
      </x:c>
      <x:c r="D68" s="21"/>
      <x:c r="E68" s="21"/>
      <x:c r="F68" s="21"/>
      <x:c r="G68" s="21"/>
      <x:c r="H68" s="21"/>
      <x:c r="I68" s="21"/>
      <x:c r="J68" s="21"/>
      <x:c r="K68" s="32"/>
      <x:c r="L68" s="32"/>
      <x:c r="M68" s="32" t="str">
        <x:f>IF(F68="","",IFERROR(LOOKUP(2,1/($F$4:F67=F68),$K$4:K67),""))</x:f>
      </x:c>
      <x:c r="N68" s="36" t="str">
        <x:f>IF(OR(K68="",M68="",M68=0),"",(K68-M68)/M68)</x:f>
      </x:c>
      <x:c r="O68" s="21" t="str">
        <x:f>IF(N68="","",IF(ABS(N68)&gt;=Settings!$B$9,"ALERT",""))</x:f>
      </x:c>
      <x:c r="P68" s="21"/>
      <x:c r="Q68" s="38"/>
      <x:c r="R68" s="21"/>
      <x:c r="S68" s="21"/>
    </x:row>
    <x:row r="69">
      <x:c r="A69" s="21"/>
      <x:c r="B69" s="30"/>
      <x:c r="C69" s="21" t="str">
        <x:f>IF(B69="","",TEXT(B69,"yyyy-mm"))</x:f>
      </x:c>
      <x:c r="D69" s="21"/>
      <x:c r="E69" s="21"/>
      <x:c r="F69" s="21"/>
      <x:c r="G69" s="21"/>
      <x:c r="H69" s="21"/>
      <x:c r="I69" s="21"/>
      <x:c r="J69" s="21"/>
      <x:c r="K69" s="32"/>
      <x:c r="L69" s="32"/>
      <x:c r="M69" s="32" t="str">
        <x:f>IF(F69="","",IFERROR(LOOKUP(2,1/($F$4:F68=F69),$K$4:K68),""))</x:f>
      </x:c>
      <x:c r="N69" s="36" t="str">
        <x:f>IF(OR(K69="",M69="",M69=0),"",(K69-M69)/M69)</x:f>
      </x:c>
      <x:c r="O69" s="21" t="str">
        <x:f>IF(N69="","",IF(ABS(N69)&gt;=Settings!$B$9,"ALERT",""))</x:f>
      </x:c>
      <x:c r="P69" s="21"/>
      <x:c r="Q69" s="38"/>
      <x:c r="R69" s="21"/>
      <x:c r="S69" s="21"/>
    </x:row>
    <x:row r="70">
      <x:c r="A70" s="21"/>
      <x:c r="B70" s="30"/>
      <x:c r="C70" s="21" t="str">
        <x:f>IF(B70="","",TEXT(B70,"yyyy-mm"))</x:f>
      </x:c>
      <x:c r="D70" s="21"/>
      <x:c r="E70" s="21"/>
      <x:c r="F70" s="21"/>
      <x:c r="G70" s="21"/>
      <x:c r="H70" s="21"/>
      <x:c r="I70" s="21"/>
      <x:c r="J70" s="21"/>
      <x:c r="K70" s="32"/>
      <x:c r="L70" s="32"/>
      <x:c r="M70" s="32" t="str">
        <x:f>IF(F70="","",IFERROR(LOOKUP(2,1/($F$4:F69=F70),$K$4:K69),""))</x:f>
      </x:c>
      <x:c r="N70" s="36" t="str">
        <x:f>IF(OR(K70="",M70="",M70=0),"",(K70-M70)/M70)</x:f>
      </x:c>
      <x:c r="O70" s="21" t="str">
        <x:f>IF(N70="","",IF(ABS(N70)&gt;=Settings!$B$9,"ALERT",""))</x:f>
      </x:c>
      <x:c r="P70" s="21"/>
      <x:c r="Q70" s="38"/>
      <x:c r="R70" s="21"/>
      <x:c r="S70" s="21"/>
    </x:row>
    <x:row r="71">
      <x:c r="A71" s="21"/>
      <x:c r="B71" s="30"/>
      <x:c r="C71" s="21" t="str">
        <x:f>IF(B71="","",TEXT(B71,"yyyy-mm"))</x:f>
      </x:c>
      <x:c r="D71" s="21"/>
      <x:c r="E71" s="21"/>
      <x:c r="F71" s="21"/>
      <x:c r="G71" s="21"/>
      <x:c r="H71" s="21"/>
      <x:c r="I71" s="21"/>
      <x:c r="J71" s="21"/>
      <x:c r="K71" s="32"/>
      <x:c r="L71" s="32"/>
      <x:c r="M71" s="32" t="str">
        <x:f>IF(F71="","",IFERROR(LOOKUP(2,1/($F$4:F70=F71),$K$4:K70),""))</x:f>
      </x:c>
      <x:c r="N71" s="36" t="str">
        <x:f>IF(OR(K71="",M71="",M71=0),"",(K71-M71)/M71)</x:f>
      </x:c>
      <x:c r="O71" s="21" t="str">
        <x:f>IF(N71="","",IF(ABS(N71)&gt;=Settings!$B$9,"ALERT",""))</x:f>
      </x:c>
      <x:c r="P71" s="21"/>
      <x:c r="Q71" s="38"/>
      <x:c r="R71" s="21"/>
      <x:c r="S71" s="21"/>
    </x:row>
    <x:row r="72">
      <x:c r="A72" s="21"/>
      <x:c r="B72" s="30"/>
      <x:c r="C72" s="21" t="str">
        <x:f>IF(B72="","",TEXT(B72,"yyyy-mm"))</x:f>
      </x:c>
      <x:c r="D72" s="21"/>
      <x:c r="E72" s="21"/>
      <x:c r="F72" s="21"/>
      <x:c r="G72" s="21"/>
      <x:c r="H72" s="21"/>
      <x:c r="I72" s="21"/>
      <x:c r="J72" s="21"/>
      <x:c r="K72" s="32"/>
      <x:c r="L72" s="32"/>
      <x:c r="M72" s="32" t="str">
        <x:f>IF(F72="","",IFERROR(LOOKUP(2,1/($F$4:F71=F72),$K$4:K71),""))</x:f>
      </x:c>
      <x:c r="N72" s="36" t="str">
        <x:f>IF(OR(K72="",M72="",M72=0),"",(K72-M72)/M72)</x:f>
      </x:c>
      <x:c r="O72" s="21" t="str">
        <x:f>IF(N72="","",IF(ABS(N72)&gt;=Settings!$B$9,"ALERT",""))</x:f>
      </x:c>
      <x:c r="P72" s="21"/>
      <x:c r="Q72" s="38"/>
      <x:c r="R72" s="21"/>
      <x:c r="S72" s="21"/>
    </x:row>
    <x:row r="73">
      <x:c r="A73" s="21"/>
      <x:c r="B73" s="30"/>
      <x:c r="C73" s="21" t="str">
        <x:f>IF(B73="","",TEXT(B73,"yyyy-mm"))</x:f>
      </x:c>
      <x:c r="D73" s="21"/>
      <x:c r="E73" s="21"/>
      <x:c r="F73" s="21"/>
      <x:c r="G73" s="21"/>
      <x:c r="H73" s="21"/>
      <x:c r="I73" s="21"/>
      <x:c r="J73" s="21"/>
      <x:c r="K73" s="32"/>
      <x:c r="L73" s="32"/>
      <x:c r="M73" s="32" t="str">
        <x:f>IF(F73="","",IFERROR(LOOKUP(2,1/($F$4:F72=F73),$K$4:K72),""))</x:f>
      </x:c>
      <x:c r="N73" s="36" t="str">
        <x:f>IF(OR(K73="",M73="",M73=0),"",(K73-M73)/M73)</x:f>
      </x:c>
      <x:c r="O73" s="21" t="str">
        <x:f>IF(N73="","",IF(ABS(N73)&gt;=Settings!$B$9,"ALERT",""))</x:f>
      </x:c>
      <x:c r="P73" s="21"/>
      <x:c r="Q73" s="38"/>
      <x:c r="R73" s="21"/>
      <x:c r="S73" s="21"/>
    </x:row>
    <x:row r="74">
      <x:c r="A74" s="21"/>
      <x:c r="B74" s="30"/>
      <x:c r="C74" s="21" t="str">
        <x:f>IF(B74="","",TEXT(B74,"yyyy-mm"))</x:f>
      </x:c>
      <x:c r="D74" s="21"/>
      <x:c r="E74" s="21"/>
      <x:c r="F74" s="21"/>
      <x:c r="G74" s="21"/>
      <x:c r="H74" s="21"/>
      <x:c r="I74" s="21"/>
      <x:c r="J74" s="21"/>
      <x:c r="K74" s="32"/>
      <x:c r="L74" s="32"/>
      <x:c r="M74" s="32" t="str">
        <x:f>IF(F74="","",IFERROR(LOOKUP(2,1/($F$4:F73=F74),$K$4:K73),""))</x:f>
      </x:c>
      <x:c r="N74" s="36" t="str">
        <x:f>IF(OR(K74="",M74="",M74=0),"",(K74-M74)/M74)</x:f>
      </x:c>
      <x:c r="O74" s="21" t="str">
        <x:f>IF(N74="","",IF(ABS(N74)&gt;=Settings!$B$9,"ALERT",""))</x:f>
      </x:c>
      <x:c r="P74" s="21"/>
      <x:c r="Q74" s="38"/>
      <x:c r="R74" s="21"/>
      <x:c r="S74" s="21"/>
    </x:row>
    <x:row r="75">
      <x:c r="A75" s="21"/>
      <x:c r="B75" s="30"/>
      <x:c r="C75" s="21" t="str">
        <x:f>IF(B75="","",TEXT(B75,"yyyy-mm"))</x:f>
      </x:c>
      <x:c r="D75" s="21"/>
      <x:c r="E75" s="21"/>
      <x:c r="F75" s="21"/>
      <x:c r="G75" s="21"/>
      <x:c r="H75" s="21"/>
      <x:c r="I75" s="21"/>
      <x:c r="J75" s="21"/>
      <x:c r="K75" s="32"/>
      <x:c r="L75" s="32"/>
      <x:c r="M75" s="32" t="str">
        <x:f>IF(F75="","",IFERROR(LOOKUP(2,1/($F$4:F74=F75),$K$4:K74),""))</x:f>
      </x:c>
      <x:c r="N75" s="36" t="str">
        <x:f>IF(OR(K75="",M75="",M75=0),"",(K75-M75)/M75)</x:f>
      </x:c>
      <x:c r="O75" s="21" t="str">
        <x:f>IF(N75="","",IF(ABS(N75)&gt;=Settings!$B$9,"ALERT",""))</x:f>
      </x:c>
      <x:c r="P75" s="21"/>
      <x:c r="Q75" s="38"/>
      <x:c r="R75" s="21"/>
      <x:c r="S75" s="21"/>
    </x:row>
    <x:row r="76">
      <x:c r="A76" s="21"/>
      <x:c r="B76" s="30"/>
      <x:c r="C76" s="21" t="str">
        <x:f>IF(B76="","",TEXT(B76,"yyyy-mm"))</x:f>
      </x:c>
      <x:c r="D76" s="21"/>
      <x:c r="E76" s="21"/>
      <x:c r="F76" s="21"/>
      <x:c r="G76" s="21"/>
      <x:c r="H76" s="21"/>
      <x:c r="I76" s="21"/>
      <x:c r="J76" s="21"/>
      <x:c r="K76" s="32"/>
      <x:c r="L76" s="32"/>
      <x:c r="M76" s="32" t="str">
        <x:f>IF(F76="","",IFERROR(LOOKUP(2,1/($F$4:F75=F76),$K$4:K75),""))</x:f>
      </x:c>
      <x:c r="N76" s="36" t="str">
        <x:f>IF(OR(K76="",M76="",M76=0),"",(K76-M76)/M76)</x:f>
      </x:c>
      <x:c r="O76" s="21" t="str">
        <x:f>IF(N76="","",IF(ABS(N76)&gt;=Settings!$B$9,"ALERT",""))</x:f>
      </x:c>
      <x:c r="P76" s="21"/>
      <x:c r="Q76" s="38"/>
      <x:c r="R76" s="21"/>
      <x:c r="S76" s="21"/>
    </x:row>
    <x:row r="77">
      <x:c r="A77" s="21"/>
      <x:c r="B77" s="30"/>
      <x:c r="C77" s="21" t="str">
        <x:f>IF(B77="","",TEXT(B77,"yyyy-mm"))</x:f>
      </x:c>
      <x:c r="D77" s="21"/>
      <x:c r="E77" s="21"/>
      <x:c r="F77" s="21"/>
      <x:c r="G77" s="21"/>
      <x:c r="H77" s="21"/>
      <x:c r="I77" s="21"/>
      <x:c r="J77" s="21"/>
      <x:c r="K77" s="32"/>
      <x:c r="L77" s="32"/>
      <x:c r="M77" s="32" t="str">
        <x:f>IF(F77="","",IFERROR(LOOKUP(2,1/($F$4:F76=F77),$K$4:K76),""))</x:f>
      </x:c>
      <x:c r="N77" s="36" t="str">
        <x:f>IF(OR(K77="",M77="",M77=0),"",(K77-M77)/M77)</x:f>
      </x:c>
      <x:c r="O77" s="21" t="str">
        <x:f>IF(N77="","",IF(ABS(N77)&gt;=Settings!$B$9,"ALERT",""))</x:f>
      </x:c>
      <x:c r="P77" s="21"/>
      <x:c r="Q77" s="38"/>
      <x:c r="R77" s="21"/>
      <x:c r="S77" s="21"/>
    </x:row>
    <x:row r="78">
      <x:c r="A78" s="21"/>
      <x:c r="B78" s="30"/>
      <x:c r="C78" s="21" t="str">
        <x:f>IF(B78="","",TEXT(B78,"yyyy-mm"))</x:f>
      </x:c>
      <x:c r="D78" s="21"/>
      <x:c r="E78" s="21"/>
      <x:c r="F78" s="21"/>
      <x:c r="G78" s="21"/>
      <x:c r="H78" s="21"/>
      <x:c r="I78" s="21"/>
      <x:c r="J78" s="21"/>
      <x:c r="K78" s="32"/>
      <x:c r="L78" s="32"/>
      <x:c r="M78" s="32" t="str">
        <x:f>IF(F78="","",IFERROR(LOOKUP(2,1/($F$4:F77=F78),$K$4:K77),""))</x:f>
      </x:c>
      <x:c r="N78" s="36" t="str">
        <x:f>IF(OR(K78="",M78="",M78=0),"",(K78-M78)/M78)</x:f>
      </x:c>
      <x:c r="O78" s="21" t="str">
        <x:f>IF(N78="","",IF(ABS(N78)&gt;=Settings!$B$9,"ALERT",""))</x:f>
      </x:c>
      <x:c r="P78" s="21"/>
      <x:c r="Q78" s="38"/>
      <x:c r="R78" s="21"/>
      <x:c r="S78" s="21"/>
    </x:row>
    <x:row r="79">
      <x:c r="A79" s="21"/>
      <x:c r="B79" s="30"/>
      <x:c r="C79" s="21" t="str">
        <x:f>IF(B79="","",TEXT(B79,"yyyy-mm"))</x:f>
      </x:c>
      <x:c r="D79" s="21"/>
      <x:c r="E79" s="21"/>
      <x:c r="F79" s="21"/>
      <x:c r="G79" s="21"/>
      <x:c r="H79" s="21"/>
      <x:c r="I79" s="21"/>
      <x:c r="J79" s="21"/>
      <x:c r="K79" s="32"/>
      <x:c r="L79" s="32"/>
      <x:c r="M79" s="32" t="str">
        <x:f>IF(F79="","",IFERROR(LOOKUP(2,1/($F$4:F78=F79),$K$4:K78),""))</x:f>
      </x:c>
      <x:c r="N79" s="36" t="str">
        <x:f>IF(OR(K79="",M79="",M79=0),"",(K79-M79)/M79)</x:f>
      </x:c>
      <x:c r="O79" s="21" t="str">
        <x:f>IF(N79="","",IF(ABS(N79)&gt;=Settings!$B$9,"ALERT",""))</x:f>
      </x:c>
      <x:c r="P79" s="21"/>
      <x:c r="Q79" s="38"/>
      <x:c r="R79" s="21"/>
      <x:c r="S79" s="21"/>
    </x:row>
    <x:row r="80">
      <x:c r="A80" s="21"/>
      <x:c r="B80" s="30"/>
      <x:c r="C80" s="21" t="str">
        <x:f>IF(B80="","",TEXT(B80,"yyyy-mm"))</x:f>
      </x:c>
      <x:c r="D80" s="21"/>
      <x:c r="E80" s="21"/>
      <x:c r="F80" s="21"/>
      <x:c r="G80" s="21"/>
      <x:c r="H80" s="21"/>
      <x:c r="I80" s="21"/>
      <x:c r="J80" s="21"/>
      <x:c r="K80" s="32"/>
      <x:c r="L80" s="32"/>
      <x:c r="M80" s="32" t="str">
        <x:f>IF(F80="","",IFERROR(LOOKUP(2,1/($F$4:F79=F80),$K$4:K79),""))</x:f>
      </x:c>
      <x:c r="N80" s="36" t="str">
        <x:f>IF(OR(K80="",M80="",M80=0),"",(K80-M80)/M80)</x:f>
      </x:c>
      <x:c r="O80" s="21" t="str">
        <x:f>IF(N80="","",IF(ABS(N80)&gt;=Settings!$B$9,"ALERT",""))</x:f>
      </x:c>
      <x:c r="P80" s="21"/>
      <x:c r="Q80" s="38"/>
      <x:c r="R80" s="21"/>
      <x:c r="S80" s="21"/>
    </x:row>
    <x:row r="81">
      <x:c r="A81" s="21"/>
      <x:c r="B81" s="30"/>
      <x:c r="C81" s="21" t="str">
        <x:f>IF(B81="","",TEXT(B81,"yyyy-mm"))</x:f>
      </x:c>
      <x:c r="D81" s="21"/>
      <x:c r="E81" s="21"/>
      <x:c r="F81" s="21"/>
      <x:c r="G81" s="21"/>
      <x:c r="H81" s="21"/>
      <x:c r="I81" s="21"/>
      <x:c r="J81" s="21"/>
      <x:c r="K81" s="32"/>
      <x:c r="L81" s="32"/>
      <x:c r="M81" s="32" t="str">
        <x:f>IF(F81="","",IFERROR(LOOKUP(2,1/($F$4:F80=F81),$K$4:K80),""))</x:f>
      </x:c>
      <x:c r="N81" s="36" t="str">
        <x:f>IF(OR(K81="",M81="",M81=0),"",(K81-M81)/M81)</x:f>
      </x:c>
      <x:c r="O81" s="21" t="str">
        <x:f>IF(N81="","",IF(ABS(N81)&gt;=Settings!$B$9,"ALERT",""))</x:f>
      </x:c>
      <x:c r="P81" s="21"/>
      <x:c r="Q81" s="38"/>
      <x:c r="R81" s="21"/>
      <x:c r="S81" s="21"/>
    </x:row>
    <x:row r="82">
      <x:c r="A82" s="21"/>
      <x:c r="B82" s="30"/>
      <x:c r="C82" s="21" t="str">
        <x:f>IF(B82="","",TEXT(B82,"yyyy-mm"))</x:f>
      </x:c>
      <x:c r="D82" s="21"/>
      <x:c r="E82" s="21"/>
      <x:c r="F82" s="21"/>
      <x:c r="G82" s="21"/>
      <x:c r="H82" s="21"/>
      <x:c r="I82" s="21"/>
      <x:c r="J82" s="21"/>
      <x:c r="K82" s="32"/>
      <x:c r="L82" s="32"/>
      <x:c r="M82" s="32" t="str">
        <x:f>IF(F82="","",IFERROR(LOOKUP(2,1/($F$4:F81=F82),$K$4:K81),""))</x:f>
      </x:c>
      <x:c r="N82" s="36" t="str">
        <x:f>IF(OR(K82="",M82="",M82=0),"",(K82-M82)/M82)</x:f>
      </x:c>
      <x:c r="O82" s="21" t="str">
        <x:f>IF(N82="","",IF(ABS(N82)&gt;=Settings!$B$9,"ALERT",""))</x:f>
      </x:c>
      <x:c r="P82" s="21"/>
      <x:c r="Q82" s="38"/>
      <x:c r="R82" s="21"/>
      <x:c r="S82" s="21"/>
    </x:row>
    <x:row r="83">
      <x:c r="A83" s="21"/>
      <x:c r="B83" s="30"/>
      <x:c r="C83" s="21" t="str">
        <x:f>IF(B83="","",TEXT(B83,"yyyy-mm"))</x:f>
      </x:c>
      <x:c r="D83" s="21"/>
      <x:c r="E83" s="21"/>
      <x:c r="F83" s="21"/>
      <x:c r="G83" s="21"/>
      <x:c r="H83" s="21"/>
      <x:c r="I83" s="21"/>
      <x:c r="J83" s="21"/>
      <x:c r="K83" s="32"/>
      <x:c r="L83" s="32"/>
      <x:c r="M83" s="32" t="str">
        <x:f>IF(F83="","",IFERROR(LOOKUP(2,1/($F$4:F82=F83),$K$4:K82),""))</x:f>
      </x:c>
      <x:c r="N83" s="36" t="str">
        <x:f>IF(OR(K83="",M83="",M83=0),"",(K83-M83)/M83)</x:f>
      </x:c>
      <x:c r="O83" s="21" t="str">
        <x:f>IF(N83="","",IF(ABS(N83)&gt;=Settings!$B$9,"ALERT",""))</x:f>
      </x:c>
      <x:c r="P83" s="21"/>
      <x:c r="Q83" s="38"/>
      <x:c r="R83" s="21"/>
      <x:c r="S83" s="21"/>
    </x:row>
    <x:row r="84">
      <x:c r="A84" s="21"/>
      <x:c r="B84" s="30"/>
      <x:c r="C84" s="21" t="str">
        <x:f>IF(B84="","",TEXT(B84,"yyyy-mm"))</x:f>
      </x:c>
      <x:c r="D84" s="21"/>
      <x:c r="E84" s="21"/>
      <x:c r="F84" s="21"/>
      <x:c r="G84" s="21"/>
      <x:c r="H84" s="21"/>
      <x:c r="I84" s="21"/>
      <x:c r="J84" s="21"/>
      <x:c r="K84" s="32"/>
      <x:c r="L84" s="32"/>
      <x:c r="M84" s="32" t="str">
        <x:f>IF(F84="","",IFERROR(LOOKUP(2,1/($F$4:F83=F84),$K$4:K83),""))</x:f>
      </x:c>
      <x:c r="N84" s="36" t="str">
        <x:f>IF(OR(K84="",M84="",M84=0),"",(K84-M84)/M84)</x:f>
      </x:c>
      <x:c r="O84" s="21" t="str">
        <x:f>IF(N84="","",IF(ABS(N84)&gt;=Settings!$B$9,"ALERT",""))</x:f>
      </x:c>
      <x:c r="P84" s="21"/>
      <x:c r="Q84" s="38"/>
      <x:c r="R84" s="21"/>
      <x:c r="S84" s="21"/>
    </x:row>
    <x:row r="85">
      <x:c r="A85" s="21"/>
      <x:c r="B85" s="30"/>
      <x:c r="C85" s="21" t="str">
        <x:f>IF(B85="","",TEXT(B85,"yyyy-mm"))</x:f>
      </x:c>
      <x:c r="D85" s="21"/>
      <x:c r="E85" s="21"/>
      <x:c r="F85" s="21"/>
      <x:c r="G85" s="21"/>
      <x:c r="H85" s="21"/>
      <x:c r="I85" s="21"/>
      <x:c r="J85" s="21"/>
      <x:c r="K85" s="32"/>
      <x:c r="L85" s="32"/>
      <x:c r="M85" s="32" t="str">
        <x:f>IF(F85="","",IFERROR(LOOKUP(2,1/($F$4:F84=F85),$K$4:K84),""))</x:f>
      </x:c>
      <x:c r="N85" s="36" t="str">
        <x:f>IF(OR(K85="",M85="",M85=0),"",(K85-M85)/M85)</x:f>
      </x:c>
      <x:c r="O85" s="21" t="str">
        <x:f>IF(N85="","",IF(ABS(N85)&gt;=Settings!$B$9,"ALERT",""))</x:f>
      </x:c>
      <x:c r="P85" s="21"/>
      <x:c r="Q85" s="38"/>
      <x:c r="R85" s="21"/>
      <x:c r="S85" s="21"/>
    </x:row>
    <x:row r="86">
      <x:c r="A86" s="21"/>
      <x:c r="B86" s="30"/>
      <x:c r="C86" s="21" t="str">
        <x:f>IF(B86="","",TEXT(B86,"yyyy-mm"))</x:f>
      </x:c>
      <x:c r="D86" s="21"/>
      <x:c r="E86" s="21"/>
      <x:c r="F86" s="21"/>
      <x:c r="G86" s="21"/>
      <x:c r="H86" s="21"/>
      <x:c r="I86" s="21"/>
      <x:c r="J86" s="21"/>
      <x:c r="K86" s="32"/>
      <x:c r="L86" s="32"/>
      <x:c r="M86" s="32" t="str">
        <x:f>IF(F86="","",IFERROR(LOOKUP(2,1/($F$4:F85=F86),$K$4:K85),""))</x:f>
      </x:c>
      <x:c r="N86" s="36" t="str">
        <x:f>IF(OR(K86="",M86="",M86=0),"",(K86-M86)/M86)</x:f>
      </x:c>
      <x:c r="O86" s="21" t="str">
        <x:f>IF(N86="","",IF(ABS(N86)&gt;=Settings!$B$9,"ALERT",""))</x:f>
      </x:c>
      <x:c r="P86" s="21"/>
      <x:c r="Q86" s="38"/>
      <x:c r="R86" s="21"/>
      <x:c r="S86" s="21"/>
    </x:row>
    <x:row r="87">
      <x:c r="A87" s="21"/>
      <x:c r="B87" s="30"/>
      <x:c r="C87" s="21" t="str">
        <x:f>IF(B87="","",TEXT(B87,"yyyy-mm"))</x:f>
      </x:c>
      <x:c r="D87" s="21"/>
      <x:c r="E87" s="21"/>
      <x:c r="F87" s="21"/>
      <x:c r="G87" s="21"/>
      <x:c r="H87" s="21"/>
      <x:c r="I87" s="21"/>
      <x:c r="J87" s="21"/>
      <x:c r="K87" s="32"/>
      <x:c r="L87" s="32"/>
      <x:c r="M87" s="32" t="str">
        <x:f>IF(F87="","",IFERROR(LOOKUP(2,1/($F$4:F86=F87),$K$4:K86),""))</x:f>
      </x:c>
      <x:c r="N87" s="36" t="str">
        <x:f>IF(OR(K87="",M87="",M87=0),"",(K87-M87)/M87)</x:f>
      </x:c>
      <x:c r="O87" s="21" t="str">
        <x:f>IF(N87="","",IF(ABS(N87)&gt;=Settings!$B$9,"ALERT",""))</x:f>
      </x:c>
      <x:c r="P87" s="21"/>
      <x:c r="Q87" s="38"/>
      <x:c r="R87" s="21"/>
      <x:c r="S87" s="21"/>
    </x:row>
    <x:row r="88">
      <x:c r="A88" s="21"/>
      <x:c r="B88" s="30"/>
      <x:c r="C88" s="21" t="str">
        <x:f>IF(B88="","",TEXT(B88,"yyyy-mm"))</x:f>
      </x:c>
      <x:c r="D88" s="21"/>
      <x:c r="E88" s="21"/>
      <x:c r="F88" s="21"/>
      <x:c r="G88" s="21"/>
      <x:c r="H88" s="21"/>
      <x:c r="I88" s="21"/>
      <x:c r="J88" s="21"/>
      <x:c r="K88" s="32"/>
      <x:c r="L88" s="32"/>
      <x:c r="M88" s="32" t="str">
        <x:f>IF(F88="","",IFERROR(LOOKUP(2,1/($F$4:F87=F88),$K$4:K87),""))</x:f>
      </x:c>
      <x:c r="N88" s="36" t="str">
        <x:f>IF(OR(K88="",M88="",M88=0),"",(K88-M88)/M88)</x:f>
      </x:c>
      <x:c r="O88" s="21" t="str">
        <x:f>IF(N88="","",IF(ABS(N88)&gt;=Settings!$B$9,"ALERT",""))</x:f>
      </x:c>
      <x:c r="P88" s="21"/>
      <x:c r="Q88" s="38"/>
      <x:c r="R88" s="21"/>
      <x:c r="S88" s="21"/>
    </x:row>
    <x:row r="89">
      <x:c r="A89" s="21"/>
      <x:c r="B89" s="30"/>
      <x:c r="C89" s="21" t="str">
        <x:f>IF(B89="","",TEXT(B89,"yyyy-mm"))</x:f>
      </x:c>
      <x:c r="D89" s="21"/>
      <x:c r="E89" s="21"/>
      <x:c r="F89" s="21"/>
      <x:c r="G89" s="21"/>
      <x:c r="H89" s="21"/>
      <x:c r="I89" s="21"/>
      <x:c r="J89" s="21"/>
      <x:c r="K89" s="32"/>
      <x:c r="L89" s="32"/>
      <x:c r="M89" s="32" t="str">
        <x:f>IF(F89="","",IFERROR(LOOKUP(2,1/($F$4:F88=F89),$K$4:K88),""))</x:f>
      </x:c>
      <x:c r="N89" s="36" t="str">
        <x:f>IF(OR(K89="",M89="",M89=0),"",(K89-M89)/M89)</x:f>
      </x:c>
      <x:c r="O89" s="21" t="str">
        <x:f>IF(N89="","",IF(ABS(N89)&gt;=Settings!$B$9,"ALERT",""))</x:f>
      </x:c>
      <x:c r="P89" s="21"/>
      <x:c r="Q89" s="38"/>
      <x:c r="R89" s="21"/>
      <x:c r="S89" s="21"/>
    </x:row>
    <x:row r="90">
      <x:c r="A90" s="21"/>
      <x:c r="B90" s="30"/>
      <x:c r="C90" s="21" t="str">
        <x:f>IF(B90="","",TEXT(B90,"yyyy-mm"))</x:f>
      </x:c>
      <x:c r="D90" s="21"/>
      <x:c r="E90" s="21"/>
      <x:c r="F90" s="21"/>
      <x:c r="G90" s="21"/>
      <x:c r="H90" s="21"/>
      <x:c r="I90" s="21"/>
      <x:c r="J90" s="21"/>
      <x:c r="K90" s="32"/>
      <x:c r="L90" s="32"/>
      <x:c r="M90" s="32" t="str">
        <x:f>IF(F90="","",IFERROR(LOOKUP(2,1/($F$4:F89=F90),$K$4:K89),""))</x:f>
      </x:c>
      <x:c r="N90" s="36" t="str">
        <x:f>IF(OR(K90="",M90="",M90=0),"",(K90-M90)/M90)</x:f>
      </x:c>
      <x:c r="O90" s="21" t="str">
        <x:f>IF(N90="","",IF(ABS(N90)&gt;=Settings!$B$9,"ALERT",""))</x:f>
      </x:c>
      <x:c r="P90" s="21"/>
      <x:c r="Q90" s="38"/>
      <x:c r="R90" s="21"/>
      <x:c r="S90" s="21"/>
    </x:row>
    <x:row r="91">
      <x:c r="A91" s="21"/>
      <x:c r="B91" s="30"/>
      <x:c r="C91" s="21" t="str">
        <x:f>IF(B91="","",TEXT(B91,"yyyy-mm"))</x:f>
      </x:c>
      <x:c r="D91" s="21"/>
      <x:c r="E91" s="21"/>
      <x:c r="F91" s="21"/>
      <x:c r="G91" s="21"/>
      <x:c r="H91" s="21"/>
      <x:c r="I91" s="21"/>
      <x:c r="J91" s="21"/>
      <x:c r="K91" s="32"/>
      <x:c r="L91" s="32"/>
      <x:c r="M91" s="32" t="str">
        <x:f>IF(F91="","",IFERROR(LOOKUP(2,1/($F$4:F90=F91),$K$4:K90),""))</x:f>
      </x:c>
      <x:c r="N91" s="36" t="str">
        <x:f>IF(OR(K91="",M91="",M91=0),"",(K91-M91)/M91)</x:f>
      </x:c>
      <x:c r="O91" s="21" t="str">
        <x:f>IF(N91="","",IF(ABS(N91)&gt;=Settings!$B$9,"ALERT",""))</x:f>
      </x:c>
      <x:c r="P91" s="21"/>
      <x:c r="Q91" s="38"/>
      <x:c r="R91" s="21"/>
      <x:c r="S91" s="21"/>
    </x:row>
    <x:row r="92">
      <x:c r="A92" s="21"/>
      <x:c r="B92" s="30"/>
      <x:c r="C92" s="21" t="str">
        <x:f>IF(B92="","",TEXT(B92,"yyyy-mm"))</x:f>
      </x:c>
      <x:c r="D92" s="21"/>
      <x:c r="E92" s="21"/>
      <x:c r="F92" s="21"/>
      <x:c r="G92" s="21"/>
      <x:c r="H92" s="21"/>
      <x:c r="I92" s="21"/>
      <x:c r="J92" s="21"/>
      <x:c r="K92" s="32"/>
      <x:c r="L92" s="32"/>
      <x:c r="M92" s="32" t="str">
        <x:f>IF(F92="","",IFERROR(LOOKUP(2,1/($F$4:F91=F92),$K$4:K91),""))</x:f>
      </x:c>
      <x:c r="N92" s="36" t="str">
        <x:f>IF(OR(K92="",M92="",M92=0),"",(K92-M92)/M92)</x:f>
      </x:c>
      <x:c r="O92" s="21" t="str">
        <x:f>IF(N92="","",IF(ABS(N92)&gt;=Settings!$B$9,"ALERT",""))</x:f>
      </x:c>
      <x:c r="P92" s="21"/>
      <x:c r="Q92" s="38"/>
      <x:c r="R92" s="21"/>
      <x:c r="S92" s="21"/>
    </x:row>
    <x:row r="93">
      <x:c r="A93" s="21"/>
      <x:c r="B93" s="30"/>
      <x:c r="C93" s="21" t="str">
        <x:f>IF(B93="","",TEXT(B93,"yyyy-mm"))</x:f>
      </x:c>
      <x:c r="D93" s="21"/>
      <x:c r="E93" s="21"/>
      <x:c r="F93" s="21"/>
      <x:c r="G93" s="21"/>
      <x:c r="H93" s="21"/>
      <x:c r="I93" s="21"/>
      <x:c r="J93" s="21"/>
      <x:c r="K93" s="32"/>
      <x:c r="L93" s="32"/>
      <x:c r="M93" s="32" t="str">
        <x:f>IF(F93="","",IFERROR(LOOKUP(2,1/($F$4:F92=F93),$K$4:K92),""))</x:f>
      </x:c>
      <x:c r="N93" s="36" t="str">
        <x:f>IF(OR(K93="",M93="",M93=0),"",(K93-M93)/M93)</x:f>
      </x:c>
      <x:c r="O93" s="21" t="str">
        <x:f>IF(N93="","",IF(ABS(N93)&gt;=Settings!$B$9,"ALERT",""))</x:f>
      </x:c>
      <x:c r="P93" s="21"/>
      <x:c r="Q93" s="38"/>
      <x:c r="R93" s="21"/>
      <x:c r="S93" s="21"/>
    </x:row>
    <x:row r="94">
      <x:c r="A94" s="21"/>
      <x:c r="B94" s="30"/>
      <x:c r="C94" s="21" t="str">
        <x:f>IF(B94="","",TEXT(B94,"yyyy-mm"))</x:f>
      </x:c>
      <x:c r="D94" s="21"/>
      <x:c r="E94" s="21"/>
      <x:c r="F94" s="21"/>
      <x:c r="G94" s="21"/>
      <x:c r="H94" s="21"/>
      <x:c r="I94" s="21"/>
      <x:c r="J94" s="21"/>
      <x:c r="K94" s="32"/>
      <x:c r="L94" s="32"/>
      <x:c r="M94" s="32" t="str">
        <x:f>IF(F94="","",IFERROR(LOOKUP(2,1/($F$4:F93=F94),$K$4:K93),""))</x:f>
      </x:c>
      <x:c r="N94" s="36" t="str">
        <x:f>IF(OR(K94="",M94="",M94=0),"",(K94-M94)/M94)</x:f>
      </x:c>
      <x:c r="O94" s="21" t="str">
        <x:f>IF(N94="","",IF(ABS(N94)&gt;=Settings!$B$9,"ALERT",""))</x:f>
      </x:c>
      <x:c r="P94" s="21"/>
      <x:c r="Q94" s="38"/>
      <x:c r="R94" s="21"/>
      <x:c r="S94" s="21"/>
    </x:row>
    <x:row r="95">
      <x:c r="A95" s="21"/>
      <x:c r="B95" s="30"/>
      <x:c r="C95" s="21" t="str">
        <x:f>IF(B95="","",TEXT(B95,"yyyy-mm"))</x:f>
      </x:c>
      <x:c r="D95" s="21"/>
      <x:c r="E95" s="21"/>
      <x:c r="F95" s="21"/>
      <x:c r="G95" s="21"/>
      <x:c r="H95" s="21"/>
      <x:c r="I95" s="21"/>
      <x:c r="J95" s="21"/>
      <x:c r="K95" s="32"/>
      <x:c r="L95" s="32"/>
      <x:c r="M95" s="32" t="str">
        <x:f>IF(F95="","",IFERROR(LOOKUP(2,1/($F$4:F94=F95),$K$4:K94),""))</x:f>
      </x:c>
      <x:c r="N95" s="36" t="str">
        <x:f>IF(OR(K95="",M95="",M95=0),"",(K95-M95)/M95)</x:f>
      </x:c>
      <x:c r="O95" s="21" t="str">
        <x:f>IF(N95="","",IF(ABS(N95)&gt;=Settings!$B$9,"ALERT",""))</x:f>
      </x:c>
      <x:c r="P95" s="21"/>
      <x:c r="Q95" s="38"/>
      <x:c r="R95" s="21"/>
      <x:c r="S95" s="21"/>
    </x:row>
    <x:row r="96">
      <x:c r="A96" s="21"/>
      <x:c r="B96" s="30"/>
      <x:c r="C96" s="21" t="str">
        <x:f>IF(B96="","",TEXT(B96,"yyyy-mm"))</x:f>
      </x:c>
      <x:c r="D96" s="21"/>
      <x:c r="E96" s="21"/>
      <x:c r="F96" s="21"/>
      <x:c r="G96" s="21"/>
      <x:c r="H96" s="21"/>
      <x:c r="I96" s="21"/>
      <x:c r="J96" s="21"/>
      <x:c r="K96" s="32"/>
      <x:c r="L96" s="32"/>
      <x:c r="M96" s="32" t="str">
        <x:f>IF(F96="","",IFERROR(LOOKUP(2,1/($F$4:F95=F96),$K$4:K95),""))</x:f>
      </x:c>
      <x:c r="N96" s="36" t="str">
        <x:f>IF(OR(K96="",M96="",M96=0),"",(K96-M96)/M96)</x:f>
      </x:c>
      <x:c r="O96" s="21" t="str">
        <x:f>IF(N96="","",IF(ABS(N96)&gt;=Settings!$B$9,"ALERT",""))</x:f>
      </x:c>
      <x:c r="P96" s="21"/>
      <x:c r="Q96" s="38"/>
      <x:c r="R96" s="21"/>
      <x:c r="S96" s="21"/>
    </x:row>
    <x:row r="97">
      <x:c r="A97" s="21"/>
      <x:c r="B97" s="30"/>
      <x:c r="C97" s="21" t="str">
        <x:f>IF(B97="","",TEXT(B97,"yyyy-mm"))</x:f>
      </x:c>
      <x:c r="D97" s="21"/>
      <x:c r="E97" s="21"/>
      <x:c r="F97" s="21"/>
      <x:c r="G97" s="21"/>
      <x:c r="H97" s="21"/>
      <x:c r="I97" s="21"/>
      <x:c r="J97" s="21"/>
      <x:c r="K97" s="32"/>
      <x:c r="L97" s="32"/>
      <x:c r="M97" s="32" t="str">
        <x:f>IF(F97="","",IFERROR(LOOKUP(2,1/($F$4:F96=F97),$K$4:K96),""))</x:f>
      </x:c>
      <x:c r="N97" s="36" t="str">
        <x:f>IF(OR(K97="",M97="",M97=0),"",(K97-M97)/M97)</x:f>
      </x:c>
      <x:c r="O97" s="21" t="str">
        <x:f>IF(N97="","",IF(ABS(N97)&gt;=Settings!$B$9,"ALERT",""))</x:f>
      </x:c>
      <x:c r="P97" s="21"/>
      <x:c r="Q97" s="38"/>
      <x:c r="R97" s="21"/>
      <x:c r="S97" s="21"/>
    </x:row>
    <x:row r="98">
      <x:c r="A98" s="21"/>
      <x:c r="B98" s="30"/>
      <x:c r="C98" s="21" t="str">
        <x:f>IF(B98="","",TEXT(B98,"yyyy-mm"))</x:f>
      </x:c>
      <x:c r="D98" s="21"/>
      <x:c r="E98" s="21"/>
      <x:c r="F98" s="21"/>
      <x:c r="G98" s="21"/>
      <x:c r="H98" s="21"/>
      <x:c r="I98" s="21"/>
      <x:c r="J98" s="21"/>
      <x:c r="K98" s="32"/>
      <x:c r="L98" s="32"/>
      <x:c r="M98" s="32" t="str">
        <x:f>IF(F98="","",IFERROR(LOOKUP(2,1/($F$4:F97=F98),$K$4:K97),""))</x:f>
      </x:c>
      <x:c r="N98" s="36" t="str">
        <x:f>IF(OR(K98="",M98="",M98=0),"",(K98-M98)/M98)</x:f>
      </x:c>
      <x:c r="O98" s="21" t="str">
        <x:f>IF(N98="","",IF(ABS(N98)&gt;=Settings!$B$9,"ALERT",""))</x:f>
      </x:c>
      <x:c r="P98" s="21"/>
      <x:c r="Q98" s="38"/>
      <x:c r="R98" s="21"/>
      <x:c r="S98" s="21"/>
    </x:row>
    <x:row r="99">
      <x:c r="A99" s="21"/>
      <x:c r="B99" s="30"/>
      <x:c r="C99" s="21" t="str">
        <x:f>IF(B99="","",TEXT(B99,"yyyy-mm"))</x:f>
      </x:c>
      <x:c r="D99" s="21"/>
      <x:c r="E99" s="21"/>
      <x:c r="F99" s="21"/>
      <x:c r="G99" s="21"/>
      <x:c r="H99" s="21"/>
      <x:c r="I99" s="21"/>
      <x:c r="J99" s="21"/>
      <x:c r="K99" s="32"/>
      <x:c r="L99" s="32"/>
      <x:c r="M99" s="32" t="str">
        <x:f>IF(F99="","",IFERROR(LOOKUP(2,1/($F$4:F98=F99),$K$4:K98),""))</x:f>
      </x:c>
      <x:c r="N99" s="36" t="str">
        <x:f>IF(OR(K99="",M99="",M99=0),"",(K99-M99)/M99)</x:f>
      </x:c>
      <x:c r="O99" s="21" t="str">
        <x:f>IF(N99="","",IF(ABS(N99)&gt;=Settings!$B$9,"ALERT",""))</x:f>
      </x:c>
      <x:c r="P99" s="21"/>
      <x:c r="Q99" s="38"/>
      <x:c r="R99" s="21"/>
      <x:c r="S99" s="21"/>
    </x:row>
    <x:row r="100">
      <x:c r="A100" s="21"/>
      <x:c r="B100" s="30"/>
      <x:c r="C100" s="21" t="str">
        <x:f>IF(B100="","",TEXT(B100,"yyyy-mm"))</x:f>
      </x:c>
      <x:c r="D100" s="21"/>
      <x:c r="E100" s="21"/>
      <x:c r="F100" s="21"/>
      <x:c r="G100" s="21"/>
      <x:c r="H100" s="21"/>
      <x:c r="I100" s="21"/>
      <x:c r="J100" s="21"/>
      <x:c r="K100" s="32"/>
      <x:c r="L100" s="32"/>
      <x:c r="M100" s="32" t="str">
        <x:f>IF(F100="","",IFERROR(LOOKUP(2,1/($F$4:F99=F100),$K$4:K99),""))</x:f>
      </x:c>
      <x:c r="N100" s="36" t="str">
        <x:f>IF(OR(K100="",M100="",M100=0),"",(K100-M100)/M100)</x:f>
      </x:c>
      <x:c r="O100" s="21" t="str">
        <x:f>IF(N100="","",IF(ABS(N100)&gt;=Settings!$B$9,"ALERT",""))</x:f>
      </x:c>
      <x:c r="P100" s="21"/>
      <x:c r="Q100" s="38"/>
      <x:c r="R100" s="21"/>
      <x:c r="S100" s="21"/>
    </x:row>
    <x:row r="101">
      <x:c r="A101" s="21"/>
      <x:c r="B101" s="30"/>
      <x:c r="C101" s="21" t="str">
        <x:f>IF(B101="","",TEXT(B101,"yyyy-mm"))</x:f>
      </x:c>
      <x:c r="D101" s="21"/>
      <x:c r="E101" s="21"/>
      <x:c r="F101" s="21"/>
      <x:c r="G101" s="21"/>
      <x:c r="H101" s="21"/>
      <x:c r="I101" s="21"/>
      <x:c r="J101" s="21"/>
      <x:c r="K101" s="32"/>
      <x:c r="L101" s="32"/>
      <x:c r="M101" s="32" t="str">
        <x:f>IF(F101="","",IFERROR(LOOKUP(2,1/($F$4:F100=F101),$K$4:K100),""))</x:f>
      </x:c>
      <x:c r="N101" s="36" t="str">
        <x:f>IF(OR(K101="",M101="",M101=0),"",(K101-M101)/M101)</x:f>
      </x:c>
      <x:c r="O101" s="21" t="str">
        <x:f>IF(N101="","",IF(ABS(N101)&gt;=Settings!$B$9,"ALERT",""))</x:f>
      </x:c>
      <x:c r="P101" s="21"/>
      <x:c r="Q101" s="38"/>
      <x:c r="R101" s="21"/>
      <x:c r="S101" s="21"/>
    </x:row>
    <x:row r="102">
      <x:c r="A102" s="21"/>
      <x:c r="B102" s="30"/>
      <x:c r="C102" s="21" t="str">
        <x:f>IF(B102="","",TEXT(B102,"yyyy-mm"))</x:f>
      </x:c>
      <x:c r="D102" s="21"/>
      <x:c r="E102" s="21"/>
      <x:c r="F102" s="21"/>
      <x:c r="G102" s="21"/>
      <x:c r="H102" s="21"/>
      <x:c r="I102" s="21"/>
      <x:c r="J102" s="21"/>
      <x:c r="K102" s="32"/>
      <x:c r="L102" s="32"/>
      <x:c r="M102" s="32" t="str">
        <x:f>IF(F102="","",IFERROR(LOOKUP(2,1/($F$4:F101=F102),$K$4:K101),""))</x:f>
      </x:c>
      <x:c r="N102" s="36" t="str">
        <x:f>IF(OR(K102="",M102="",M102=0),"",(K102-M102)/M102)</x:f>
      </x:c>
      <x:c r="O102" s="21" t="str">
        <x:f>IF(N102="","",IF(ABS(N102)&gt;=Settings!$B$9,"ALERT",""))</x:f>
      </x:c>
      <x:c r="P102" s="21"/>
      <x:c r="Q102" s="38"/>
      <x:c r="R102" s="21"/>
      <x:c r="S102" s="21"/>
    </x:row>
    <x:row r="103">
      <x:c r="A103" s="21"/>
      <x:c r="B103" s="30"/>
      <x:c r="C103" s="21" t="str">
        <x:f>IF(B103="","",TEXT(B103,"yyyy-mm"))</x:f>
      </x:c>
      <x:c r="D103" s="21"/>
      <x:c r="E103" s="21"/>
      <x:c r="F103" s="21"/>
      <x:c r="G103" s="21"/>
      <x:c r="H103" s="21"/>
      <x:c r="I103" s="21"/>
      <x:c r="J103" s="21"/>
      <x:c r="K103" s="32"/>
      <x:c r="L103" s="32"/>
      <x:c r="M103" s="32" t="str">
        <x:f>IF(F103="","",IFERROR(LOOKUP(2,1/($F$4:F102=F103),$K$4:K102),""))</x:f>
      </x:c>
      <x:c r="N103" s="36" t="str">
        <x:f>IF(OR(K103="",M103="",M103=0),"",(K103-M103)/M103)</x:f>
      </x:c>
      <x:c r="O103" s="21" t="str">
        <x:f>IF(N103="","",IF(ABS(N103)&gt;=Settings!$B$9,"ALERT",""))</x:f>
      </x:c>
      <x:c r="P103" s="21"/>
      <x:c r="Q103" s="38"/>
      <x:c r="R103" s="21"/>
      <x:c r="S103" s="21"/>
    </x:row>
    <x:row r="104">
      <x:c r="A104" s="21"/>
      <x:c r="B104" s="30"/>
      <x:c r="C104" s="21" t="str">
        <x:f>IF(B104="","",TEXT(B104,"yyyy-mm"))</x:f>
      </x:c>
      <x:c r="D104" s="21"/>
      <x:c r="E104" s="21"/>
      <x:c r="F104" s="21"/>
      <x:c r="G104" s="21"/>
      <x:c r="H104" s="21"/>
      <x:c r="I104" s="21"/>
      <x:c r="J104" s="21"/>
      <x:c r="K104" s="32"/>
      <x:c r="L104" s="32"/>
      <x:c r="M104" s="32" t="str">
        <x:f>IF(F104="","",IFERROR(LOOKUP(2,1/($F$4:F103=F104),$K$4:K103),""))</x:f>
      </x:c>
      <x:c r="N104" s="36" t="str">
        <x:f>IF(OR(K104="",M104="",M104=0),"",(K104-M104)/M104)</x:f>
      </x:c>
      <x:c r="O104" s="21" t="str">
        <x:f>IF(N104="","",IF(ABS(N104)&gt;=Settings!$B$9,"ALERT",""))</x:f>
      </x:c>
      <x:c r="P104" s="21"/>
      <x:c r="Q104" s="38"/>
      <x:c r="R104" s="21"/>
      <x:c r="S104" s="21"/>
    </x:row>
    <x:row r="105">
      <x:c r="B105" s="34"/>
      <x:c r="C105" t="str">
        <x:f>IF(B105="","",TEXT(B105,"yyyy-mm"))</x:f>
      </x:c>
      <x:c r="K105" s="28"/>
      <x:c r="L105" s="28"/>
      <x:c r="M105" s="28" t="str">
        <x:f>IF(F105="","",IFERROR(LOOKUP(2,1/($F$4:F104=F105),$K$4:K104),""))</x:f>
      </x:c>
      <x:c r="N105" s="26" t="str">
        <x:f>IF(OR(K105="",M105="",M105=0),"",(K105-M105)/M105)</x:f>
      </x:c>
      <x:c r="O105" t="str">
        <x:f>IF(N105="","",IF(ABS(N105)&gt;=Settings!$B$9,"ALERT",""))</x:f>
      </x:c>
      <x:c r="Q105" s="39"/>
    </x:row>
    <x:row r="106">
      <x:c r="B106" s="34"/>
      <x:c r="C106" t="str">
        <x:f>IF(B106="","",TEXT(B106,"yyyy-mm"))</x:f>
      </x:c>
      <x:c r="K106" s="28"/>
      <x:c r="L106" s="28"/>
      <x:c r="M106" s="28" t="str">
        <x:f>IF(F106="","",IFERROR(LOOKUP(2,1/($F$4:F105=F106),$K$4:K105),""))</x:f>
      </x:c>
      <x:c r="N106" s="26" t="str">
        <x:f>IF(OR(K106="",M106="",M106=0),"",(K106-M106)/M106)</x:f>
      </x:c>
      <x:c r="O106" t="str">
        <x:f>IF(N106="","",IF(ABS(N106)&gt;=Settings!$B$9,"ALERT",""))</x:f>
      </x:c>
      <x:c r="Q106" s="39"/>
    </x:row>
    <x:row r="107">
      <x:c r="B107" s="34"/>
      <x:c r="C107" t="str">
        <x:f>IF(B107="","",TEXT(B107,"yyyy-mm"))</x:f>
      </x:c>
      <x:c r="K107" s="28"/>
      <x:c r="L107" s="28"/>
      <x:c r="M107" s="28" t="str">
        <x:f>IF(F107="","",IFERROR(LOOKUP(2,1/($F$4:F106=F107),$K$4:K106),""))</x:f>
      </x:c>
      <x:c r="N107" s="26" t="str">
        <x:f>IF(OR(K107="",M107="",M107=0),"",(K107-M107)/M107)</x:f>
      </x:c>
      <x:c r="O107" t="str">
        <x:f>IF(N107="","",IF(ABS(N107)&gt;=Settings!$B$9,"ALERT",""))</x:f>
      </x:c>
      <x:c r="Q107" s="39"/>
    </x:row>
    <x:row r="108">
      <x:c r="B108" s="34"/>
      <x:c r="C108" t="str">
        <x:f>IF(B108="","",TEXT(B108,"yyyy-mm"))</x:f>
      </x:c>
      <x:c r="K108" s="28"/>
      <x:c r="L108" s="28"/>
      <x:c r="M108" s="28" t="str">
        <x:f>IF(F108="","",IFERROR(LOOKUP(2,1/($F$4:F107=F108),$K$4:K107),""))</x:f>
      </x:c>
      <x:c r="N108" s="26" t="str">
        <x:f>IF(OR(K108="",M108="",M108=0),"",(K108-M108)/M108)</x:f>
      </x:c>
      <x:c r="O108" t="str">
        <x:f>IF(N108="","",IF(ABS(N108)&gt;=Settings!$B$9,"ALERT",""))</x:f>
      </x:c>
      <x:c r="Q108" s="39"/>
    </x:row>
    <x:row r="109">
      <x:c r="B109" s="34"/>
      <x:c r="C109" t="str">
        <x:f>IF(B109="","",TEXT(B109,"yyyy-mm"))</x:f>
      </x:c>
      <x:c r="K109" s="28"/>
      <x:c r="L109" s="28"/>
      <x:c r="M109" s="28" t="str">
        <x:f>IF(F109="","",IFERROR(LOOKUP(2,1/($F$4:F108=F109),$K$4:K108),""))</x:f>
      </x:c>
      <x:c r="N109" s="26" t="str">
        <x:f>IF(OR(K109="",M109="",M109=0),"",(K109-M109)/M109)</x:f>
      </x:c>
      <x:c r="O109" t="str">
        <x:f>IF(N109="","",IF(ABS(N109)&gt;=Settings!$B$9,"ALERT",""))</x:f>
      </x:c>
      <x:c r="Q109" s="39"/>
    </x:row>
    <x:row r="110">
      <x:c r="B110" s="34"/>
      <x:c r="C110" t="str">
        <x:f>IF(B110="","",TEXT(B110,"yyyy-mm"))</x:f>
      </x:c>
      <x:c r="K110" s="28"/>
      <x:c r="L110" s="28"/>
      <x:c r="M110" s="28" t="str">
        <x:f>IF(F110="","",IFERROR(LOOKUP(2,1/($F$4:F109=F110),$K$4:K109),""))</x:f>
      </x:c>
      <x:c r="N110" s="26" t="str">
        <x:f>IF(OR(K110="",M110="",M110=0),"",(K110-M110)/M110)</x:f>
      </x:c>
      <x:c r="O110" t="str">
        <x:f>IF(N110="","",IF(ABS(N110)&gt;=Settings!$B$9,"ALERT",""))</x:f>
      </x:c>
      <x:c r="Q110" s="39"/>
    </x:row>
    <x:row r="111">
      <x:c r="B111" s="34"/>
      <x:c r="C111" t="str">
        <x:f>IF(B111="","",TEXT(B111,"yyyy-mm"))</x:f>
      </x:c>
      <x:c r="K111" s="28"/>
      <x:c r="L111" s="28"/>
      <x:c r="M111" s="28" t="str">
        <x:f>IF(F111="","",IFERROR(LOOKUP(2,1/($F$4:F110=F111),$K$4:K110),""))</x:f>
      </x:c>
      <x:c r="N111" s="26" t="str">
        <x:f>IF(OR(K111="",M111="",M111=0),"",(K111-M111)/M111)</x:f>
      </x:c>
      <x:c r="O111" t="str">
        <x:f>IF(N111="","",IF(ABS(N111)&gt;=Settings!$B$9,"ALERT",""))</x:f>
      </x:c>
      <x:c r="Q111" s="39"/>
    </x:row>
    <x:row r="112">
      <x:c r="B112" s="34"/>
      <x:c r="C112" t="str">
        <x:f>IF(B112="","",TEXT(B112,"yyyy-mm"))</x:f>
      </x:c>
      <x:c r="K112" s="28"/>
      <x:c r="L112" s="28"/>
      <x:c r="M112" s="28" t="str">
        <x:f>IF(F112="","",IFERROR(LOOKUP(2,1/($F$4:F111=F112),$K$4:K111),""))</x:f>
      </x:c>
      <x:c r="N112" s="26" t="str">
        <x:f>IF(OR(K112="",M112="",M112=0),"",(K112-M112)/M112)</x:f>
      </x:c>
      <x:c r="O112" t="str">
        <x:f>IF(N112="","",IF(ABS(N112)&gt;=Settings!$B$9,"ALERT",""))</x:f>
      </x:c>
      <x:c r="Q112" s="39"/>
    </x:row>
    <x:row r="113">
      <x:c r="B113" s="34"/>
      <x:c r="C113" t="str">
        <x:f>IF(B113="","",TEXT(B113,"yyyy-mm"))</x:f>
      </x:c>
      <x:c r="K113" s="28"/>
      <x:c r="L113" s="28"/>
      <x:c r="M113" s="28" t="str">
        <x:f>IF(F113="","",IFERROR(LOOKUP(2,1/($F$4:F112=F113),$K$4:K112),""))</x:f>
      </x:c>
      <x:c r="N113" s="26" t="str">
        <x:f>IF(OR(K113="",M113="",M113=0),"",(K113-M113)/M113)</x:f>
      </x:c>
      <x:c r="O113" t="str">
        <x:f>IF(N113="","",IF(ABS(N113)&gt;=Settings!$B$9,"ALERT",""))</x:f>
      </x:c>
      <x:c r="Q113" s="39"/>
    </x:row>
    <x:row r="114">
      <x:c r="B114" s="34"/>
      <x:c r="C114" t="str">
        <x:f>IF(B114="","",TEXT(B114,"yyyy-mm"))</x:f>
      </x:c>
      <x:c r="K114" s="28"/>
      <x:c r="L114" s="28"/>
      <x:c r="M114" s="28" t="str">
        <x:f>IF(F114="","",IFERROR(LOOKUP(2,1/($F$4:F113=F114),$K$4:K113),""))</x:f>
      </x:c>
      <x:c r="N114" s="26" t="str">
        <x:f>IF(OR(K114="",M114="",M114=0),"",(K114-M114)/M114)</x:f>
      </x:c>
      <x:c r="O114" t="str">
        <x:f>IF(N114="","",IF(ABS(N114)&gt;=Settings!$B$9,"ALERT",""))</x:f>
      </x:c>
      <x:c r="Q114" s="39"/>
    </x:row>
    <x:row r="115">
      <x:c r="B115" s="34"/>
      <x:c r="C115" t="str">
        <x:f>IF(B115="","",TEXT(B115,"yyyy-mm"))</x:f>
      </x:c>
      <x:c r="K115" s="28"/>
      <x:c r="L115" s="28"/>
      <x:c r="M115" s="28" t="str">
        <x:f>IF(F115="","",IFERROR(LOOKUP(2,1/($F$4:F114=F115),$K$4:K114),""))</x:f>
      </x:c>
      <x:c r="N115" s="26" t="str">
        <x:f>IF(OR(K115="",M115="",M115=0),"",(K115-M115)/M115)</x:f>
      </x:c>
      <x:c r="O115" t="str">
        <x:f>IF(N115="","",IF(ABS(N115)&gt;=Settings!$B$9,"ALERT",""))</x:f>
      </x:c>
      <x:c r="Q115" s="39"/>
    </x:row>
    <x:row r="116">
      <x:c r="B116" s="34"/>
      <x:c r="C116" t="str">
        <x:f>IF(B116="","",TEXT(B116,"yyyy-mm"))</x:f>
      </x:c>
      <x:c r="K116" s="28"/>
      <x:c r="L116" s="28"/>
      <x:c r="M116" s="28" t="str">
        <x:f>IF(F116="","",IFERROR(LOOKUP(2,1/($F$4:F115=F116),$K$4:K115),""))</x:f>
      </x:c>
      <x:c r="N116" s="26" t="str">
        <x:f>IF(OR(K116="",M116="",M116=0),"",(K116-M116)/M116)</x:f>
      </x:c>
      <x:c r="O116" t="str">
        <x:f>IF(N116="","",IF(ABS(N116)&gt;=Settings!$B$9,"ALERT",""))</x:f>
      </x:c>
      <x:c r="Q116" s="39"/>
    </x:row>
    <x:row r="117">
      <x:c r="B117" s="34"/>
      <x:c r="C117" t="str">
        <x:f>IF(B117="","",TEXT(B117,"yyyy-mm"))</x:f>
      </x:c>
      <x:c r="K117" s="28"/>
      <x:c r="L117" s="28"/>
      <x:c r="M117" s="28" t="str">
        <x:f>IF(F117="","",IFERROR(LOOKUP(2,1/($F$4:F116=F117),$K$4:K116),""))</x:f>
      </x:c>
      <x:c r="N117" s="26" t="str">
        <x:f>IF(OR(K117="",M117="",M117=0),"",(K117-M117)/M117)</x:f>
      </x:c>
      <x:c r="O117" t="str">
        <x:f>IF(N117="","",IF(ABS(N117)&gt;=Settings!$B$9,"ALERT",""))</x:f>
      </x:c>
      <x:c r="Q117" s="39"/>
    </x:row>
    <x:row r="118">
      <x:c r="B118" s="34"/>
      <x:c r="C118" t="str">
        <x:f>IF(B118="","",TEXT(B118,"yyyy-mm"))</x:f>
      </x:c>
      <x:c r="K118" s="28"/>
      <x:c r="L118" s="28"/>
      <x:c r="M118" s="28" t="str">
        <x:f>IF(F118="","",IFERROR(LOOKUP(2,1/($F$4:F117=F118),$K$4:K117),""))</x:f>
      </x:c>
      <x:c r="N118" s="26" t="str">
        <x:f>IF(OR(K118="",M118="",M118=0),"",(K118-M118)/M118)</x:f>
      </x:c>
      <x:c r="O118" t="str">
        <x:f>IF(N118="","",IF(ABS(N118)&gt;=Settings!$B$9,"ALERT",""))</x:f>
      </x:c>
      <x:c r="Q118" s="39"/>
    </x:row>
    <x:row r="119">
      <x:c r="B119" s="34"/>
      <x:c r="C119" t="str">
        <x:f>IF(B119="","",TEXT(B119,"yyyy-mm"))</x:f>
      </x:c>
      <x:c r="K119" s="28"/>
      <x:c r="L119" s="28"/>
      <x:c r="M119" s="28" t="str">
        <x:f>IF(F119="","",IFERROR(LOOKUP(2,1/($F$4:F118=F119),$K$4:K118),""))</x:f>
      </x:c>
      <x:c r="N119" s="26" t="str">
        <x:f>IF(OR(K119="",M119="",M119=0),"",(K119-M119)/M119)</x:f>
      </x:c>
      <x:c r="O119" t="str">
        <x:f>IF(N119="","",IF(ABS(N119)&gt;=Settings!$B$9,"ALERT",""))</x:f>
      </x:c>
      <x:c r="Q119" s="39"/>
    </x:row>
    <x:row r="120">
      <x:c r="B120" s="34"/>
      <x:c r="C120" t="str">
        <x:f>IF(B120="","",TEXT(B120,"yyyy-mm"))</x:f>
      </x:c>
      <x:c r="K120" s="28"/>
      <x:c r="L120" s="28"/>
      <x:c r="M120" s="28" t="str">
        <x:f>IF(F120="","",IFERROR(LOOKUP(2,1/($F$4:F119=F120),$K$4:K119),""))</x:f>
      </x:c>
      <x:c r="N120" s="26" t="str">
        <x:f>IF(OR(K120="",M120="",M120=0),"",(K120-M120)/M120)</x:f>
      </x:c>
      <x:c r="O120" t="str">
        <x:f>IF(N120="","",IF(ABS(N120)&gt;=Settings!$B$9,"ALERT",""))</x:f>
      </x:c>
      <x:c r="Q120" s="39"/>
    </x:row>
    <x:row r="121">
      <x:c r="B121" s="34"/>
      <x:c r="C121" t="str">
        <x:f>IF(B121="","",TEXT(B121,"yyyy-mm"))</x:f>
      </x:c>
      <x:c r="K121" s="28"/>
      <x:c r="L121" s="28"/>
      <x:c r="M121" s="28" t="str">
        <x:f>IF(F121="","",IFERROR(LOOKUP(2,1/($F$4:F120=F121),$K$4:K120),""))</x:f>
      </x:c>
      <x:c r="N121" s="26" t="str">
        <x:f>IF(OR(K121="",M121="",M121=0),"",(K121-M121)/M121)</x:f>
      </x:c>
      <x:c r="O121" t="str">
        <x:f>IF(N121="","",IF(ABS(N121)&gt;=Settings!$B$9,"ALERT",""))</x:f>
      </x:c>
      <x:c r="Q121" s="39"/>
    </x:row>
    <x:row r="122">
      <x:c r="B122" s="34"/>
      <x:c r="C122" t="str">
        <x:f>IF(B122="","",TEXT(B122,"yyyy-mm"))</x:f>
      </x:c>
      <x:c r="K122" s="28"/>
      <x:c r="L122" s="28"/>
      <x:c r="M122" s="28" t="str">
        <x:f>IF(F122="","",IFERROR(LOOKUP(2,1/($F$4:F121=F122),$K$4:K121),""))</x:f>
      </x:c>
      <x:c r="N122" s="26" t="str">
        <x:f>IF(OR(K122="",M122="",M122=0),"",(K122-M122)/M122)</x:f>
      </x:c>
      <x:c r="O122" t="str">
        <x:f>IF(N122="","",IF(ABS(N122)&gt;=Settings!$B$9,"ALERT",""))</x:f>
      </x:c>
      <x:c r="Q122" s="39"/>
    </x:row>
    <x:row r="123">
      <x:c r="B123" s="34"/>
      <x:c r="C123" t="str">
        <x:f>IF(B123="","",TEXT(B123,"yyyy-mm"))</x:f>
      </x:c>
      <x:c r="K123" s="28"/>
      <x:c r="L123" s="28"/>
      <x:c r="M123" s="28" t="str">
        <x:f>IF(F123="","",IFERROR(LOOKUP(2,1/($F$4:F122=F123),$K$4:K122),""))</x:f>
      </x:c>
      <x:c r="N123" s="26" t="str">
        <x:f>IF(OR(K123="",M123="",M123=0),"",(K123-M123)/M123)</x:f>
      </x:c>
      <x:c r="O123" t="str">
        <x:f>IF(N123="","",IF(ABS(N123)&gt;=Settings!$B$9,"ALERT",""))</x:f>
      </x:c>
      <x:c r="Q123" s="39"/>
    </x:row>
    <x:row r="124">
      <x:c r="B124" s="34"/>
      <x:c r="C124" t="str">
        <x:f>IF(B124="","",TEXT(B124,"yyyy-mm"))</x:f>
      </x:c>
      <x:c r="K124" s="28"/>
      <x:c r="L124" s="28"/>
      <x:c r="M124" s="28" t="str">
        <x:f>IF(F124="","",IFERROR(LOOKUP(2,1/($F$4:F123=F124),$K$4:K123),""))</x:f>
      </x:c>
      <x:c r="N124" s="26" t="str">
        <x:f>IF(OR(K124="",M124="",M124=0),"",(K124-M124)/M124)</x:f>
      </x:c>
      <x:c r="O124" t="str">
        <x:f>IF(N124="","",IF(ABS(N124)&gt;=Settings!$B$9,"ALERT",""))</x:f>
      </x:c>
      <x:c r="Q124" s="39"/>
    </x:row>
    <x:row r="125">
      <x:c r="B125" s="34"/>
      <x:c r="C125" t="str">
        <x:f>IF(B125="","",TEXT(B125,"yyyy-mm"))</x:f>
      </x:c>
      <x:c r="K125" s="28"/>
      <x:c r="L125" s="28"/>
      <x:c r="M125" s="28" t="str">
        <x:f>IF(F125="","",IFERROR(LOOKUP(2,1/($F$4:F124=F125),$K$4:K124),""))</x:f>
      </x:c>
      <x:c r="N125" s="26" t="str">
        <x:f>IF(OR(K125="",M125="",M125=0),"",(K125-M125)/M125)</x:f>
      </x:c>
      <x:c r="O125" t="str">
        <x:f>IF(N125="","",IF(ABS(N125)&gt;=Settings!$B$9,"ALERT",""))</x:f>
      </x:c>
      <x:c r="Q125" s="39"/>
    </x:row>
    <x:row r="126">
      <x:c r="B126" s="34"/>
      <x:c r="C126" t="str">
        <x:f>IF(B126="","",TEXT(B126,"yyyy-mm"))</x:f>
      </x:c>
      <x:c r="K126" s="28"/>
      <x:c r="L126" s="28"/>
      <x:c r="M126" s="28" t="str">
        <x:f>IF(F126="","",IFERROR(LOOKUP(2,1/($F$4:F125=F126),$K$4:K125),""))</x:f>
      </x:c>
      <x:c r="N126" s="26" t="str">
        <x:f>IF(OR(K126="",M126="",M126=0),"",(K126-M126)/M126)</x:f>
      </x:c>
      <x:c r="O126" t="str">
        <x:f>IF(N126="","",IF(ABS(N126)&gt;=Settings!$B$9,"ALERT",""))</x:f>
      </x:c>
      <x:c r="Q126" s="39"/>
    </x:row>
    <x:row r="127">
      <x:c r="B127" s="34"/>
      <x:c r="C127" t="str">
        <x:f>IF(B127="","",TEXT(B127,"yyyy-mm"))</x:f>
      </x:c>
      <x:c r="K127" s="28"/>
      <x:c r="L127" s="28"/>
      <x:c r="M127" s="28" t="str">
        <x:f>IF(F127="","",IFERROR(LOOKUP(2,1/($F$4:F126=F127),$K$4:K126),""))</x:f>
      </x:c>
      <x:c r="N127" s="26" t="str">
        <x:f>IF(OR(K127="",M127="",M127=0),"",(K127-M127)/M127)</x:f>
      </x:c>
      <x:c r="O127" t="str">
        <x:f>IF(N127="","",IF(ABS(N127)&gt;=Settings!$B$9,"ALERT",""))</x:f>
      </x:c>
      <x:c r="Q127" s="39"/>
    </x:row>
    <x:row r="128">
      <x:c r="B128" s="34"/>
      <x:c r="C128" t="str">
        <x:f>IF(B128="","",TEXT(B128,"yyyy-mm"))</x:f>
      </x:c>
      <x:c r="K128" s="28"/>
      <x:c r="L128" s="28"/>
      <x:c r="M128" s="28" t="str">
        <x:f>IF(F128="","",IFERROR(LOOKUP(2,1/($F$4:F127=F128),$K$4:K127),""))</x:f>
      </x:c>
      <x:c r="N128" s="26" t="str">
        <x:f>IF(OR(K128="",M128="",M128=0),"",(K128-M128)/M128)</x:f>
      </x:c>
      <x:c r="O128" t="str">
        <x:f>IF(N128="","",IF(ABS(N128)&gt;=Settings!$B$9,"ALERT",""))</x:f>
      </x:c>
      <x:c r="Q128" s="39"/>
    </x:row>
    <x:row r="129">
      <x:c r="B129" s="34"/>
      <x:c r="C129" t="str">
        <x:f>IF(B129="","",TEXT(B129,"yyyy-mm"))</x:f>
      </x:c>
      <x:c r="K129" s="28"/>
      <x:c r="L129" s="28"/>
      <x:c r="M129" s="28" t="str">
        <x:f>IF(F129="","",IFERROR(LOOKUP(2,1/($F$4:F128=F129),$K$4:K128),""))</x:f>
      </x:c>
      <x:c r="N129" s="26" t="str">
        <x:f>IF(OR(K129="",M129="",M129=0),"",(K129-M129)/M129)</x:f>
      </x:c>
      <x:c r="O129" t="str">
        <x:f>IF(N129="","",IF(ABS(N129)&gt;=Settings!$B$9,"ALERT",""))</x:f>
      </x:c>
      <x:c r="Q129" s="39"/>
    </x:row>
    <x:row r="130">
      <x:c r="B130" s="34"/>
      <x:c r="C130" t="str">
        <x:f>IF(B130="","",TEXT(B130,"yyyy-mm"))</x:f>
      </x:c>
      <x:c r="K130" s="28"/>
      <x:c r="L130" s="28"/>
      <x:c r="M130" s="28" t="str">
        <x:f>IF(F130="","",IFERROR(LOOKUP(2,1/($F$4:F129=F130),$K$4:K129),""))</x:f>
      </x:c>
      <x:c r="N130" s="26" t="str">
        <x:f>IF(OR(K130="",M130="",M130=0),"",(K130-M130)/M130)</x:f>
      </x:c>
      <x:c r="O130" t="str">
        <x:f>IF(N130="","",IF(ABS(N130)&gt;=Settings!$B$9,"ALERT",""))</x:f>
      </x:c>
      <x:c r="Q130" s="39"/>
    </x:row>
    <x:row r="131">
      <x:c r="B131" s="34"/>
      <x:c r="C131" t="str">
        <x:f>IF(B131="","",TEXT(B131,"yyyy-mm"))</x:f>
      </x:c>
      <x:c r="K131" s="28"/>
      <x:c r="L131" s="28"/>
      <x:c r="M131" s="28" t="str">
        <x:f>IF(F131="","",IFERROR(LOOKUP(2,1/($F$4:F130=F131),$K$4:K130),""))</x:f>
      </x:c>
      <x:c r="N131" s="26" t="str">
        <x:f>IF(OR(K131="",M131="",M131=0),"",(K131-M131)/M131)</x:f>
      </x:c>
      <x:c r="O131" t="str">
        <x:f>IF(N131="","",IF(ABS(N131)&gt;=Settings!$B$9,"ALERT",""))</x:f>
      </x:c>
      <x:c r="Q131" s="39"/>
    </x:row>
    <x:row r="132">
      <x:c r="B132" s="34"/>
      <x:c r="C132" t="str">
        <x:f>IF(B132="","",TEXT(B132,"yyyy-mm"))</x:f>
      </x:c>
      <x:c r="K132" s="28"/>
      <x:c r="L132" s="28"/>
      <x:c r="M132" s="28" t="str">
        <x:f>IF(F132="","",IFERROR(LOOKUP(2,1/($F$4:F131=F132),$K$4:K131),""))</x:f>
      </x:c>
      <x:c r="N132" s="26" t="str">
        <x:f>IF(OR(K132="",M132="",M132=0),"",(K132-M132)/M132)</x:f>
      </x:c>
      <x:c r="O132" t="str">
        <x:f>IF(N132="","",IF(ABS(N132)&gt;=Settings!$B$9,"ALERT",""))</x:f>
      </x:c>
      <x:c r="Q132" s="39"/>
    </x:row>
    <x:row r="133">
      <x:c r="B133" s="34"/>
      <x:c r="C133" t="str">
        <x:f>IF(B133="","",TEXT(B133,"yyyy-mm"))</x:f>
      </x:c>
      <x:c r="K133" s="28"/>
      <x:c r="L133" s="28"/>
      <x:c r="M133" s="28" t="str">
        <x:f>IF(F133="","",IFERROR(LOOKUP(2,1/($F$4:F132=F133),$K$4:K132),""))</x:f>
      </x:c>
      <x:c r="N133" s="26" t="str">
        <x:f>IF(OR(K133="",M133="",M133=0),"",(K133-M133)/M133)</x:f>
      </x:c>
      <x:c r="O133" t="str">
        <x:f>IF(N133="","",IF(ABS(N133)&gt;=Settings!$B$9,"ALERT",""))</x:f>
      </x:c>
      <x:c r="Q133" s="39"/>
    </x:row>
    <x:row r="134">
      <x:c r="B134" s="34"/>
      <x:c r="C134" t="str">
        <x:f>IF(B134="","",TEXT(B134,"yyyy-mm"))</x:f>
      </x:c>
      <x:c r="K134" s="28"/>
      <x:c r="L134" s="28"/>
      <x:c r="M134" s="28" t="str">
        <x:f>IF(F134="","",IFERROR(LOOKUP(2,1/($F$4:F133=F134),$K$4:K133),""))</x:f>
      </x:c>
      <x:c r="N134" s="26" t="str">
        <x:f>IF(OR(K134="",M134="",M134=0),"",(K134-M134)/M134)</x:f>
      </x:c>
      <x:c r="O134" t="str">
        <x:f>IF(N134="","",IF(ABS(N134)&gt;=Settings!$B$9,"ALERT",""))</x:f>
      </x:c>
      <x:c r="Q134" s="39"/>
    </x:row>
    <x:row r="135">
      <x:c r="B135" s="34"/>
      <x:c r="C135" t="str">
        <x:f>IF(B135="","",TEXT(B135,"yyyy-mm"))</x:f>
      </x:c>
      <x:c r="K135" s="28"/>
      <x:c r="L135" s="28"/>
      <x:c r="M135" s="28" t="str">
        <x:f>IF(F135="","",IFERROR(LOOKUP(2,1/($F$4:F134=F135),$K$4:K134),""))</x:f>
      </x:c>
      <x:c r="N135" s="26" t="str">
        <x:f>IF(OR(K135="",M135="",M135=0),"",(K135-M135)/M135)</x:f>
      </x:c>
      <x:c r="O135" t="str">
        <x:f>IF(N135="","",IF(ABS(N135)&gt;=Settings!$B$9,"ALERT",""))</x:f>
      </x:c>
      <x:c r="Q135" s="39"/>
    </x:row>
    <x:row r="136">
      <x:c r="B136" s="34"/>
      <x:c r="C136" t="str">
        <x:f>IF(B136="","",TEXT(B136,"yyyy-mm"))</x:f>
      </x:c>
      <x:c r="K136" s="28"/>
      <x:c r="L136" s="28"/>
      <x:c r="M136" s="28" t="str">
        <x:f>IF(F136="","",IFERROR(LOOKUP(2,1/($F$4:F135=F136),$K$4:K135),""))</x:f>
      </x:c>
      <x:c r="N136" s="26" t="str">
        <x:f>IF(OR(K136="",M136="",M136=0),"",(K136-M136)/M136)</x:f>
      </x:c>
      <x:c r="O136" t="str">
        <x:f>IF(N136="","",IF(ABS(N136)&gt;=Settings!$B$9,"ALERT",""))</x:f>
      </x:c>
      <x:c r="Q136" s="39"/>
    </x:row>
    <x:row r="137">
      <x:c r="B137" s="34"/>
      <x:c r="C137" t="str">
        <x:f>IF(B137="","",TEXT(B137,"yyyy-mm"))</x:f>
      </x:c>
      <x:c r="K137" s="28"/>
      <x:c r="L137" s="28"/>
      <x:c r="M137" s="28" t="str">
        <x:f>IF(F137="","",IFERROR(LOOKUP(2,1/($F$4:F136=F137),$K$4:K136),""))</x:f>
      </x:c>
      <x:c r="N137" s="26" t="str">
        <x:f>IF(OR(K137="",M137="",M137=0),"",(K137-M137)/M137)</x:f>
      </x:c>
      <x:c r="O137" t="str">
        <x:f>IF(N137="","",IF(ABS(N137)&gt;=Settings!$B$9,"ALERT",""))</x:f>
      </x:c>
      <x:c r="Q137" s="39"/>
    </x:row>
    <x:row r="138">
      <x:c r="B138" s="34"/>
      <x:c r="C138" t="str">
        <x:f>IF(B138="","",TEXT(B138,"yyyy-mm"))</x:f>
      </x:c>
      <x:c r="K138" s="28"/>
      <x:c r="L138" s="28"/>
      <x:c r="M138" s="28" t="str">
        <x:f>IF(F138="","",IFERROR(LOOKUP(2,1/($F$4:F137=F138),$K$4:K137),""))</x:f>
      </x:c>
      <x:c r="N138" s="26" t="str">
        <x:f>IF(OR(K138="",M138="",M138=0),"",(K138-M138)/M138)</x:f>
      </x:c>
      <x:c r="O138" t="str">
        <x:f>IF(N138="","",IF(ABS(N138)&gt;=Settings!$B$9,"ALERT",""))</x:f>
      </x:c>
      <x:c r="Q138" s="39"/>
    </x:row>
    <x:row r="139">
      <x:c r="B139" s="34"/>
      <x:c r="C139" t="str">
        <x:f>IF(B139="","",TEXT(B139,"yyyy-mm"))</x:f>
      </x:c>
      <x:c r="K139" s="28"/>
      <x:c r="L139" s="28"/>
      <x:c r="M139" s="28" t="str">
        <x:f>IF(F139="","",IFERROR(LOOKUP(2,1/($F$4:F138=F139),$K$4:K138),""))</x:f>
      </x:c>
      <x:c r="N139" s="26" t="str">
        <x:f>IF(OR(K139="",M139="",M139=0),"",(K139-M139)/M139)</x:f>
      </x:c>
      <x:c r="O139" t="str">
        <x:f>IF(N139="","",IF(ABS(N139)&gt;=Settings!$B$9,"ALERT",""))</x:f>
      </x:c>
      <x:c r="Q139" s="39"/>
    </x:row>
    <x:row r="140">
      <x:c r="B140" s="34"/>
      <x:c r="C140" t="str">
        <x:f>IF(B140="","",TEXT(B140,"yyyy-mm"))</x:f>
      </x:c>
      <x:c r="K140" s="28"/>
      <x:c r="L140" s="28"/>
      <x:c r="M140" s="28" t="str">
        <x:f>IF(F140="","",IFERROR(LOOKUP(2,1/($F$4:F139=F140),$K$4:K139),""))</x:f>
      </x:c>
      <x:c r="N140" s="26" t="str">
        <x:f>IF(OR(K140="",M140="",M140=0),"",(K140-M140)/M140)</x:f>
      </x:c>
      <x:c r="O140" t="str">
        <x:f>IF(N140="","",IF(ABS(N140)&gt;=Settings!$B$9,"ALERT",""))</x:f>
      </x:c>
      <x:c r="Q140" s="39"/>
    </x:row>
    <x:row r="141">
      <x:c r="B141" s="34"/>
      <x:c r="C141" t="str">
        <x:f>IF(B141="","",TEXT(B141,"yyyy-mm"))</x:f>
      </x:c>
      <x:c r="K141" s="28"/>
      <x:c r="L141" s="28"/>
      <x:c r="M141" s="28" t="str">
        <x:f>IF(F141="","",IFERROR(LOOKUP(2,1/($F$4:F140=F141),$K$4:K140),""))</x:f>
      </x:c>
      <x:c r="N141" s="26" t="str">
        <x:f>IF(OR(K141="",M141="",M141=0),"",(K141-M141)/M141)</x:f>
      </x:c>
      <x:c r="O141" t="str">
        <x:f>IF(N141="","",IF(ABS(N141)&gt;=Settings!$B$9,"ALERT",""))</x:f>
      </x:c>
      <x:c r="Q141" s="39"/>
    </x:row>
    <x:row r="142">
      <x:c r="B142" s="34"/>
      <x:c r="C142" t="str">
        <x:f>IF(B142="","",TEXT(B142,"yyyy-mm"))</x:f>
      </x:c>
      <x:c r="K142" s="28"/>
      <x:c r="L142" s="28"/>
      <x:c r="M142" s="28" t="str">
        <x:f>IF(F142="","",IFERROR(LOOKUP(2,1/($F$4:F141=F142),$K$4:K141),""))</x:f>
      </x:c>
      <x:c r="N142" s="26" t="str">
        <x:f>IF(OR(K142="",M142="",M142=0),"",(K142-M142)/M142)</x:f>
      </x:c>
      <x:c r="O142" t="str">
        <x:f>IF(N142="","",IF(ABS(N142)&gt;=Settings!$B$9,"ALERT",""))</x:f>
      </x:c>
      <x:c r="Q142" s="39"/>
    </x:row>
    <x:row r="143">
      <x:c r="B143" s="34"/>
      <x:c r="C143" t="str">
        <x:f>IF(B143="","",TEXT(B143,"yyyy-mm"))</x:f>
      </x:c>
      <x:c r="K143" s="28"/>
      <x:c r="L143" s="28"/>
      <x:c r="M143" s="28" t="str">
        <x:f>IF(F143="","",IFERROR(LOOKUP(2,1/($F$4:F142=F143),$K$4:K142),""))</x:f>
      </x:c>
      <x:c r="N143" s="26" t="str">
        <x:f>IF(OR(K143="",M143="",M143=0),"",(K143-M143)/M143)</x:f>
      </x:c>
      <x:c r="O143" t="str">
        <x:f>IF(N143="","",IF(ABS(N143)&gt;=Settings!$B$9,"ALERT",""))</x:f>
      </x:c>
      <x:c r="Q143" s="39"/>
    </x:row>
    <x:row r="144">
      <x:c r="B144" s="34"/>
      <x:c r="C144" t="str">
        <x:f>IF(B144="","",TEXT(B144,"yyyy-mm"))</x:f>
      </x:c>
      <x:c r="K144" s="28"/>
      <x:c r="L144" s="28"/>
      <x:c r="M144" s="28" t="str">
        <x:f>IF(F144="","",IFERROR(LOOKUP(2,1/($F$4:F143=F144),$K$4:K143),""))</x:f>
      </x:c>
      <x:c r="N144" s="26" t="str">
        <x:f>IF(OR(K144="",M144="",M144=0),"",(K144-M144)/M144)</x:f>
      </x:c>
      <x:c r="O144" t="str">
        <x:f>IF(N144="","",IF(ABS(N144)&gt;=Settings!$B$9,"ALERT",""))</x:f>
      </x:c>
      <x:c r="Q144" s="39"/>
    </x:row>
    <x:row r="145">
      <x:c r="B145" s="34"/>
      <x:c r="C145" t="str">
        <x:f>IF(B145="","",TEXT(B145,"yyyy-mm"))</x:f>
      </x:c>
      <x:c r="K145" s="28"/>
      <x:c r="L145" s="28"/>
      <x:c r="M145" s="28" t="str">
        <x:f>IF(F145="","",IFERROR(LOOKUP(2,1/($F$4:F144=F145),$K$4:K144),""))</x:f>
      </x:c>
      <x:c r="N145" s="26" t="str">
        <x:f>IF(OR(K145="",M145="",M145=0),"",(K145-M145)/M145)</x:f>
      </x:c>
      <x:c r="O145" t="str">
        <x:f>IF(N145="","",IF(ABS(N145)&gt;=Settings!$B$9,"ALERT",""))</x:f>
      </x:c>
      <x:c r="Q145" s="39"/>
    </x:row>
    <x:row r="146">
      <x:c r="B146" s="34"/>
      <x:c r="C146" t="str">
        <x:f>IF(B146="","",TEXT(B146,"yyyy-mm"))</x:f>
      </x:c>
      <x:c r="K146" s="28"/>
      <x:c r="L146" s="28"/>
      <x:c r="M146" s="28" t="str">
        <x:f>IF(F146="","",IFERROR(LOOKUP(2,1/($F$4:F145=F146),$K$4:K145),""))</x:f>
      </x:c>
      <x:c r="N146" s="26" t="str">
        <x:f>IF(OR(K146="",M146="",M146=0),"",(K146-M146)/M146)</x:f>
      </x:c>
      <x:c r="O146" t="str">
        <x:f>IF(N146="","",IF(ABS(N146)&gt;=Settings!$B$9,"ALERT",""))</x:f>
      </x:c>
      <x:c r="Q146" s="39"/>
    </x:row>
    <x:row r="147">
      <x:c r="B147" s="34"/>
      <x:c r="C147" t="str">
        <x:f>IF(B147="","",TEXT(B147,"yyyy-mm"))</x:f>
      </x:c>
      <x:c r="K147" s="28"/>
      <x:c r="L147" s="28"/>
      <x:c r="M147" s="28" t="str">
        <x:f>IF(F147="","",IFERROR(LOOKUP(2,1/($F$4:F146=F147),$K$4:K146),""))</x:f>
      </x:c>
      <x:c r="N147" s="26" t="str">
        <x:f>IF(OR(K147="",M147="",M147=0),"",(K147-M147)/M147)</x:f>
      </x:c>
      <x:c r="O147" t="str">
        <x:f>IF(N147="","",IF(ABS(N147)&gt;=Settings!$B$9,"ALERT",""))</x:f>
      </x:c>
      <x:c r="Q147" s="39"/>
    </x:row>
    <x:row r="148">
      <x:c r="B148" s="34"/>
      <x:c r="C148" t="str">
        <x:f>IF(B148="","",TEXT(B148,"yyyy-mm"))</x:f>
      </x:c>
      <x:c r="K148" s="28"/>
      <x:c r="L148" s="28"/>
      <x:c r="M148" s="28" t="str">
        <x:f>IF(F148="","",IFERROR(LOOKUP(2,1/($F$4:F147=F148),$K$4:K147),""))</x:f>
      </x:c>
      <x:c r="N148" s="26" t="str">
        <x:f>IF(OR(K148="",M148="",M148=0),"",(K148-M148)/M148)</x:f>
      </x:c>
      <x:c r="O148" t="str">
        <x:f>IF(N148="","",IF(ABS(N148)&gt;=Settings!$B$9,"ALERT",""))</x:f>
      </x:c>
      <x:c r="Q148" s="39"/>
    </x:row>
    <x:row r="149">
      <x:c r="B149" s="34"/>
      <x:c r="C149" t="str">
        <x:f>IF(B149="","",TEXT(B149,"yyyy-mm"))</x:f>
      </x:c>
      <x:c r="K149" s="28"/>
      <x:c r="L149" s="28"/>
      <x:c r="M149" s="28" t="str">
        <x:f>IF(F149="","",IFERROR(LOOKUP(2,1/($F$4:F148=F149),$K$4:K148),""))</x:f>
      </x:c>
      <x:c r="N149" s="26" t="str">
        <x:f>IF(OR(K149="",M149="",M149=0),"",(K149-M149)/M149)</x:f>
      </x:c>
      <x:c r="O149" t="str">
        <x:f>IF(N149="","",IF(ABS(N149)&gt;=Settings!$B$9,"ALERT",""))</x:f>
      </x:c>
      <x:c r="Q149" s="39"/>
    </x:row>
    <x:row r="150">
      <x:c r="B150" s="34"/>
      <x:c r="C150" t="str">
        <x:f>IF(B150="","",TEXT(B150,"yyyy-mm"))</x:f>
      </x:c>
      <x:c r="K150" s="28"/>
      <x:c r="L150" s="28"/>
      <x:c r="M150" s="28" t="str">
        <x:f>IF(F150="","",IFERROR(LOOKUP(2,1/($F$4:F149=F150),$K$4:K149),""))</x:f>
      </x:c>
      <x:c r="N150" s="26" t="str">
        <x:f>IF(OR(K150="",M150="",M150=0),"",(K150-M150)/M150)</x:f>
      </x:c>
      <x:c r="O150" t="str">
        <x:f>IF(N150="","",IF(ABS(N150)&gt;=Settings!$B$9,"ALERT",""))</x:f>
      </x:c>
      <x:c r="Q150" s="39"/>
    </x:row>
    <x:row r="151">
      <x:c r="B151" s="34"/>
      <x:c r="C151" t="str">
        <x:f>IF(B151="","",TEXT(B151,"yyyy-mm"))</x:f>
      </x:c>
      <x:c r="K151" s="28"/>
      <x:c r="L151" s="28"/>
      <x:c r="M151" s="28" t="str">
        <x:f>IF(F151="","",IFERROR(LOOKUP(2,1/($F$4:F150=F151),$K$4:K150),""))</x:f>
      </x:c>
      <x:c r="N151" s="26" t="str">
        <x:f>IF(OR(K151="",M151="",M151=0),"",(K151-M151)/M151)</x:f>
      </x:c>
      <x:c r="O151" t="str">
        <x:f>IF(N151="","",IF(ABS(N151)&gt;=Settings!$B$9,"ALERT",""))</x:f>
      </x:c>
      <x:c r="Q151" s="39"/>
    </x:row>
    <x:row r="152">
      <x:c r="B152" s="34"/>
      <x:c r="C152" t="str">
        <x:f>IF(B152="","",TEXT(B152,"yyyy-mm"))</x:f>
      </x:c>
      <x:c r="K152" s="28"/>
      <x:c r="L152" s="28"/>
      <x:c r="M152" s="28" t="str">
        <x:f>IF(F152="","",IFERROR(LOOKUP(2,1/($F$4:F151=F152),$K$4:K151),""))</x:f>
      </x:c>
      <x:c r="N152" s="26" t="str">
        <x:f>IF(OR(K152="",M152="",M152=0),"",(K152-M152)/M152)</x:f>
      </x:c>
      <x:c r="O152" t="str">
        <x:f>IF(N152="","",IF(ABS(N152)&gt;=Settings!$B$9,"ALERT",""))</x:f>
      </x:c>
      <x:c r="Q152" s="39"/>
    </x:row>
    <x:row r="153">
      <x:c r="B153" s="34"/>
      <x:c r="C153" t="str">
        <x:f>IF(B153="","",TEXT(B153,"yyyy-mm"))</x:f>
      </x:c>
      <x:c r="K153" s="28"/>
      <x:c r="L153" s="28"/>
      <x:c r="M153" s="28" t="str">
        <x:f>IF(F153="","",IFERROR(LOOKUP(2,1/($F$4:F152=F153),$K$4:K152),""))</x:f>
      </x:c>
      <x:c r="N153" s="26" t="str">
        <x:f>IF(OR(K153="",M153="",M153=0),"",(K153-M153)/M153)</x:f>
      </x:c>
      <x:c r="O153" t="str">
        <x:f>IF(N153="","",IF(ABS(N153)&gt;=Settings!$B$9,"ALERT",""))</x:f>
      </x:c>
      <x:c r="Q153" s="39"/>
    </x:row>
    <x:row r="154">
      <x:c r="B154" s="34"/>
      <x:c r="C154" t="str">
        <x:f>IF(B154="","",TEXT(B154,"yyyy-mm"))</x:f>
      </x:c>
      <x:c r="K154" s="28"/>
      <x:c r="L154" s="28"/>
      <x:c r="M154" s="28" t="str">
        <x:f>IF(F154="","",IFERROR(LOOKUP(2,1/($F$4:F153=F154),$K$4:K153),""))</x:f>
      </x:c>
      <x:c r="N154" s="26" t="str">
        <x:f>IF(OR(K154="",M154="",M154=0),"",(K154-M154)/M154)</x:f>
      </x:c>
      <x:c r="O154" t="str">
        <x:f>IF(N154="","",IF(ABS(N154)&gt;=Settings!$B$9,"ALERT",""))</x:f>
      </x:c>
      <x:c r="Q154" s="39"/>
    </x:row>
    <x:row r="155">
      <x:c r="B155" s="34"/>
      <x:c r="C155" t="str">
        <x:f>IF(B155="","",TEXT(B155,"yyyy-mm"))</x:f>
      </x:c>
      <x:c r="K155" s="28"/>
      <x:c r="L155" s="28"/>
      <x:c r="M155" s="28" t="str">
        <x:f>IF(F155="","",IFERROR(LOOKUP(2,1/($F$4:F154=F155),$K$4:K154),""))</x:f>
      </x:c>
      <x:c r="N155" s="26" t="str">
        <x:f>IF(OR(K155="",M155="",M155=0),"",(K155-M155)/M155)</x:f>
      </x:c>
      <x:c r="O155" t="str">
        <x:f>IF(N155="","",IF(ABS(N155)&gt;=Settings!$B$9,"ALERT",""))</x:f>
      </x:c>
      <x:c r="Q155" s="39"/>
    </x:row>
    <x:row r="156">
      <x:c r="B156" s="34"/>
      <x:c r="C156" t="str">
        <x:f>IF(B156="","",TEXT(B156,"yyyy-mm"))</x:f>
      </x:c>
      <x:c r="K156" s="28"/>
      <x:c r="L156" s="28"/>
      <x:c r="M156" s="28" t="str">
        <x:f>IF(F156="","",IFERROR(LOOKUP(2,1/($F$4:F155=F156),$K$4:K155),""))</x:f>
      </x:c>
      <x:c r="N156" s="26" t="str">
        <x:f>IF(OR(K156="",M156="",M156=0),"",(K156-M156)/M156)</x:f>
      </x:c>
      <x:c r="O156" t="str">
        <x:f>IF(N156="","",IF(ABS(N156)&gt;=Settings!$B$9,"ALERT",""))</x:f>
      </x:c>
      <x:c r="Q156" s="39"/>
    </x:row>
    <x:row r="157">
      <x:c r="B157" s="34"/>
      <x:c r="C157" t="str">
        <x:f>IF(B157="","",TEXT(B157,"yyyy-mm"))</x:f>
      </x:c>
      <x:c r="K157" s="28"/>
      <x:c r="L157" s="28"/>
      <x:c r="M157" s="28" t="str">
        <x:f>IF(F157="","",IFERROR(LOOKUP(2,1/($F$4:F156=F157),$K$4:K156),""))</x:f>
      </x:c>
      <x:c r="N157" s="26" t="str">
        <x:f>IF(OR(K157="",M157="",M157=0),"",(K157-M157)/M157)</x:f>
      </x:c>
      <x:c r="O157" t="str">
        <x:f>IF(N157="","",IF(ABS(N157)&gt;=Settings!$B$9,"ALERT",""))</x:f>
      </x:c>
      <x:c r="Q157" s="39"/>
    </x:row>
    <x:row r="158">
      <x:c r="B158" s="34"/>
      <x:c r="C158" t="str">
        <x:f>IF(B158="","",TEXT(B158,"yyyy-mm"))</x:f>
      </x:c>
      <x:c r="K158" s="28"/>
      <x:c r="L158" s="28"/>
      <x:c r="M158" s="28" t="str">
        <x:f>IF(F158="","",IFERROR(LOOKUP(2,1/($F$4:F157=F158),$K$4:K157),""))</x:f>
      </x:c>
      <x:c r="N158" s="26" t="str">
        <x:f>IF(OR(K158="",M158="",M158=0),"",(K158-M158)/M158)</x:f>
      </x:c>
      <x:c r="O158" t="str">
        <x:f>IF(N158="","",IF(ABS(N158)&gt;=Settings!$B$9,"ALERT",""))</x:f>
      </x:c>
      <x:c r="Q158" s="39"/>
    </x:row>
    <x:row r="159">
      <x:c r="B159" s="34"/>
      <x:c r="C159" t="str">
        <x:f>IF(B159="","",TEXT(B159,"yyyy-mm"))</x:f>
      </x:c>
      <x:c r="K159" s="28"/>
      <x:c r="L159" s="28"/>
      <x:c r="M159" s="28" t="str">
        <x:f>IF(F159="","",IFERROR(LOOKUP(2,1/($F$4:F158=F159),$K$4:K158),""))</x:f>
      </x:c>
      <x:c r="N159" s="26" t="str">
        <x:f>IF(OR(K159="",M159="",M159=0),"",(K159-M159)/M159)</x:f>
      </x:c>
      <x:c r="O159" t="str">
        <x:f>IF(N159="","",IF(ABS(N159)&gt;=Settings!$B$9,"ALERT",""))</x:f>
      </x:c>
      <x:c r="Q159" s="39"/>
    </x:row>
    <x:row r="160">
      <x:c r="B160" s="34"/>
      <x:c r="C160" t="str">
        <x:f>IF(B160="","",TEXT(B160,"yyyy-mm"))</x:f>
      </x:c>
      <x:c r="K160" s="28"/>
      <x:c r="L160" s="28"/>
      <x:c r="M160" s="28" t="str">
        <x:f>IF(F160="","",IFERROR(LOOKUP(2,1/($F$4:F159=F160),$K$4:K159),""))</x:f>
      </x:c>
      <x:c r="N160" s="26" t="str">
        <x:f>IF(OR(K160="",M160="",M160=0),"",(K160-M160)/M160)</x:f>
      </x:c>
      <x:c r="O160" t="str">
        <x:f>IF(N160="","",IF(ABS(N160)&gt;=Settings!$B$9,"ALERT",""))</x:f>
      </x:c>
      <x:c r="Q160" s="39"/>
    </x:row>
    <x:row r="161">
      <x:c r="B161" s="34"/>
      <x:c r="C161" t="str">
        <x:f>IF(B161="","",TEXT(B161,"yyyy-mm"))</x:f>
      </x:c>
      <x:c r="K161" s="28"/>
      <x:c r="L161" s="28"/>
      <x:c r="M161" s="28" t="str">
        <x:f>IF(F161="","",IFERROR(LOOKUP(2,1/($F$4:F160=F161),$K$4:K160),""))</x:f>
      </x:c>
      <x:c r="N161" s="26" t="str">
        <x:f>IF(OR(K161="",M161="",M161=0),"",(K161-M161)/M161)</x:f>
      </x:c>
      <x:c r="O161" t="str">
        <x:f>IF(N161="","",IF(ABS(N161)&gt;=Settings!$B$9,"ALERT",""))</x:f>
      </x:c>
      <x:c r="Q161" s="39"/>
    </x:row>
    <x:row r="162">
      <x:c r="B162" s="34"/>
      <x:c r="C162" t="str">
        <x:f>IF(B162="","",TEXT(B162,"yyyy-mm"))</x:f>
      </x:c>
      <x:c r="K162" s="28"/>
      <x:c r="L162" s="28"/>
      <x:c r="M162" s="28" t="str">
        <x:f>IF(F162="","",IFERROR(LOOKUP(2,1/($F$4:F161=F162),$K$4:K161),""))</x:f>
      </x:c>
      <x:c r="N162" s="26" t="str">
        <x:f>IF(OR(K162="",M162="",M162=0),"",(K162-M162)/M162)</x:f>
      </x:c>
      <x:c r="O162" t="str">
        <x:f>IF(N162="","",IF(ABS(N162)&gt;=Settings!$B$9,"ALERT",""))</x:f>
      </x:c>
      <x:c r="Q162" s="39"/>
    </x:row>
    <x:row r="163">
      <x:c r="B163" s="34"/>
      <x:c r="C163" t="str">
        <x:f>IF(B163="","",TEXT(B163,"yyyy-mm"))</x:f>
      </x:c>
      <x:c r="K163" s="28"/>
      <x:c r="L163" s="28"/>
      <x:c r="M163" s="28" t="str">
        <x:f>IF(F163="","",IFERROR(LOOKUP(2,1/($F$4:F162=F163),$K$4:K162),""))</x:f>
      </x:c>
      <x:c r="N163" s="26" t="str">
        <x:f>IF(OR(K163="",M163="",M163=0),"",(K163-M163)/M163)</x:f>
      </x:c>
      <x:c r="O163" t="str">
        <x:f>IF(N163="","",IF(ABS(N163)&gt;=Settings!$B$9,"ALERT",""))</x:f>
      </x:c>
      <x:c r="Q163" s="39"/>
    </x:row>
    <x:row r="164">
      <x:c r="B164" s="34"/>
      <x:c r="C164" t="str">
        <x:f>IF(B164="","",TEXT(B164,"yyyy-mm"))</x:f>
      </x:c>
      <x:c r="K164" s="28"/>
      <x:c r="L164" s="28"/>
      <x:c r="M164" s="28" t="str">
        <x:f>IF(F164="","",IFERROR(LOOKUP(2,1/($F$4:F163=F164),$K$4:K163),""))</x:f>
      </x:c>
      <x:c r="N164" s="26" t="str">
        <x:f>IF(OR(K164="",M164="",M164=0),"",(K164-M164)/M164)</x:f>
      </x:c>
      <x:c r="O164" t="str">
        <x:f>IF(N164="","",IF(ABS(N164)&gt;=Settings!$B$9,"ALERT",""))</x:f>
      </x:c>
      <x:c r="Q164" s="39"/>
    </x:row>
    <x:row r="165">
      <x:c r="B165" s="34"/>
      <x:c r="C165" t="str">
        <x:f>IF(B165="","",TEXT(B165,"yyyy-mm"))</x:f>
      </x:c>
      <x:c r="K165" s="28"/>
      <x:c r="L165" s="28"/>
      <x:c r="M165" s="28" t="str">
        <x:f>IF(F165="","",IFERROR(LOOKUP(2,1/($F$4:F164=F165),$K$4:K164),""))</x:f>
      </x:c>
      <x:c r="N165" s="26" t="str">
        <x:f>IF(OR(K165="",M165="",M165=0),"",(K165-M165)/M165)</x:f>
      </x:c>
      <x:c r="O165" t="str">
        <x:f>IF(N165="","",IF(ABS(N165)&gt;=Settings!$B$9,"ALERT",""))</x:f>
      </x:c>
      <x:c r="Q165" s="39"/>
    </x:row>
    <x:row r="166">
      <x:c r="B166" s="34"/>
      <x:c r="C166" t="str">
        <x:f>IF(B166="","",TEXT(B166,"yyyy-mm"))</x:f>
      </x:c>
      <x:c r="K166" s="28"/>
      <x:c r="L166" s="28"/>
      <x:c r="M166" s="28" t="str">
        <x:f>IF(F166="","",IFERROR(LOOKUP(2,1/($F$4:F165=F166),$K$4:K165),""))</x:f>
      </x:c>
      <x:c r="N166" s="26" t="str">
        <x:f>IF(OR(K166="",M166="",M166=0),"",(K166-M166)/M166)</x:f>
      </x:c>
      <x:c r="O166" t="str">
        <x:f>IF(N166="","",IF(ABS(N166)&gt;=Settings!$B$9,"ALERT",""))</x:f>
      </x:c>
      <x:c r="Q166" s="39"/>
    </x:row>
    <x:row r="167">
      <x:c r="B167" s="34"/>
      <x:c r="C167" t="str">
        <x:f>IF(B167="","",TEXT(B167,"yyyy-mm"))</x:f>
      </x:c>
      <x:c r="K167" s="28"/>
      <x:c r="L167" s="28"/>
      <x:c r="M167" s="28" t="str">
        <x:f>IF(F167="","",IFERROR(LOOKUP(2,1/($F$4:F166=F167),$K$4:K166),""))</x:f>
      </x:c>
      <x:c r="N167" s="26" t="str">
        <x:f>IF(OR(K167="",M167="",M167=0),"",(K167-M167)/M167)</x:f>
      </x:c>
      <x:c r="O167" t="str">
        <x:f>IF(N167="","",IF(ABS(N167)&gt;=Settings!$B$9,"ALERT",""))</x:f>
      </x:c>
      <x:c r="Q167" s="39"/>
    </x:row>
    <x:row r="168">
      <x:c r="B168" s="34"/>
      <x:c r="C168" t="str">
        <x:f>IF(B168="","",TEXT(B168,"yyyy-mm"))</x:f>
      </x:c>
      <x:c r="K168" s="28"/>
      <x:c r="L168" s="28"/>
      <x:c r="M168" s="28" t="str">
        <x:f>IF(F168="","",IFERROR(LOOKUP(2,1/($F$4:F167=F168),$K$4:K167),""))</x:f>
      </x:c>
      <x:c r="N168" s="26" t="str">
        <x:f>IF(OR(K168="",M168="",M168=0),"",(K168-M168)/M168)</x:f>
      </x:c>
      <x:c r="O168" t="str">
        <x:f>IF(N168="","",IF(ABS(N168)&gt;=Settings!$B$9,"ALERT",""))</x:f>
      </x:c>
      <x:c r="Q168" s="39"/>
    </x:row>
    <x:row r="169">
      <x:c r="B169" s="34"/>
      <x:c r="C169" t="str">
        <x:f>IF(B169="","",TEXT(B169,"yyyy-mm"))</x:f>
      </x:c>
      <x:c r="K169" s="28"/>
      <x:c r="L169" s="28"/>
      <x:c r="M169" s="28" t="str">
        <x:f>IF(F169="","",IFERROR(LOOKUP(2,1/($F$4:F168=F169),$K$4:K168),""))</x:f>
      </x:c>
      <x:c r="N169" s="26" t="str">
        <x:f>IF(OR(K169="",M169="",M169=0),"",(K169-M169)/M169)</x:f>
      </x:c>
      <x:c r="O169" t="str">
        <x:f>IF(N169="","",IF(ABS(N169)&gt;=Settings!$B$9,"ALERT",""))</x:f>
      </x:c>
      <x:c r="Q169" s="39"/>
    </x:row>
    <x:row r="170">
      <x:c r="B170" s="34"/>
      <x:c r="C170" t="str">
        <x:f>IF(B170="","",TEXT(B170,"yyyy-mm"))</x:f>
      </x:c>
      <x:c r="K170" s="28"/>
      <x:c r="L170" s="28"/>
      <x:c r="M170" s="28" t="str">
        <x:f>IF(F170="","",IFERROR(LOOKUP(2,1/($F$4:F169=F170),$K$4:K169),""))</x:f>
      </x:c>
      <x:c r="N170" s="26" t="str">
        <x:f>IF(OR(K170="",M170="",M170=0),"",(K170-M170)/M170)</x:f>
      </x:c>
      <x:c r="O170" t="str">
        <x:f>IF(N170="","",IF(ABS(N170)&gt;=Settings!$B$9,"ALERT",""))</x:f>
      </x:c>
      <x:c r="Q170" s="39"/>
    </x:row>
    <x:row r="171">
      <x:c r="B171" s="34"/>
      <x:c r="C171" t="str">
        <x:f>IF(B171="","",TEXT(B171,"yyyy-mm"))</x:f>
      </x:c>
      <x:c r="K171" s="28"/>
      <x:c r="L171" s="28"/>
      <x:c r="M171" s="28" t="str">
        <x:f>IF(F171="","",IFERROR(LOOKUP(2,1/($F$4:F170=F171),$K$4:K170),""))</x:f>
      </x:c>
      <x:c r="N171" s="26" t="str">
        <x:f>IF(OR(K171="",M171="",M171=0),"",(K171-M171)/M171)</x:f>
      </x:c>
      <x:c r="O171" t="str">
        <x:f>IF(N171="","",IF(ABS(N171)&gt;=Settings!$B$9,"ALERT",""))</x:f>
      </x:c>
      <x:c r="Q171" s="39"/>
    </x:row>
    <x:row r="172">
      <x:c r="B172" s="34"/>
      <x:c r="C172" t="str">
        <x:f>IF(B172="","",TEXT(B172,"yyyy-mm"))</x:f>
      </x:c>
      <x:c r="K172" s="28"/>
      <x:c r="L172" s="28"/>
      <x:c r="M172" s="28" t="str">
        <x:f>IF(F172="","",IFERROR(LOOKUP(2,1/($F$4:F171=F172),$K$4:K171),""))</x:f>
      </x:c>
      <x:c r="N172" s="26" t="str">
        <x:f>IF(OR(K172="",M172="",M172=0),"",(K172-M172)/M172)</x:f>
      </x:c>
      <x:c r="O172" t="str">
        <x:f>IF(N172="","",IF(ABS(N172)&gt;=Settings!$B$9,"ALERT",""))</x:f>
      </x:c>
      <x:c r="Q172" s="39"/>
    </x:row>
    <x:row r="173">
      <x:c r="B173" s="34"/>
      <x:c r="C173" t="str">
        <x:f>IF(B173="","",TEXT(B173,"yyyy-mm"))</x:f>
      </x:c>
      <x:c r="K173" s="28"/>
      <x:c r="L173" s="28"/>
      <x:c r="M173" s="28" t="str">
        <x:f>IF(F173="","",IFERROR(LOOKUP(2,1/($F$4:F172=F173),$K$4:K172),""))</x:f>
      </x:c>
      <x:c r="N173" s="26" t="str">
        <x:f>IF(OR(K173="",M173="",M173=0),"",(K173-M173)/M173)</x:f>
      </x:c>
      <x:c r="O173" t="str">
        <x:f>IF(N173="","",IF(ABS(N173)&gt;=Settings!$B$9,"ALERT",""))</x:f>
      </x:c>
      <x:c r="Q173" s="39"/>
    </x:row>
    <x:row r="174">
      <x:c r="B174" s="34"/>
      <x:c r="C174" t="str">
        <x:f>IF(B174="","",TEXT(B174,"yyyy-mm"))</x:f>
      </x:c>
      <x:c r="K174" s="28"/>
      <x:c r="L174" s="28"/>
      <x:c r="M174" s="28" t="str">
        <x:f>IF(F174="","",IFERROR(LOOKUP(2,1/($F$4:F173=F174),$K$4:K173),""))</x:f>
      </x:c>
      <x:c r="N174" s="26" t="str">
        <x:f>IF(OR(K174="",M174="",M174=0),"",(K174-M174)/M174)</x:f>
      </x:c>
      <x:c r="O174" t="str">
        <x:f>IF(N174="","",IF(ABS(N174)&gt;=Settings!$B$9,"ALERT",""))</x:f>
      </x:c>
      <x:c r="Q174" s="39"/>
    </x:row>
    <x:row r="175">
      <x:c r="B175" s="34"/>
      <x:c r="C175" t="str">
        <x:f>IF(B175="","",TEXT(B175,"yyyy-mm"))</x:f>
      </x:c>
      <x:c r="K175" s="28"/>
      <x:c r="L175" s="28"/>
      <x:c r="M175" s="28" t="str">
        <x:f>IF(F175="","",IFERROR(LOOKUP(2,1/($F$4:F174=F175),$K$4:K174),""))</x:f>
      </x:c>
      <x:c r="N175" s="26" t="str">
        <x:f>IF(OR(K175="",M175="",M175=0),"",(K175-M175)/M175)</x:f>
      </x:c>
      <x:c r="O175" t="str">
        <x:f>IF(N175="","",IF(ABS(N175)&gt;=Settings!$B$9,"ALERT",""))</x:f>
      </x:c>
      <x:c r="Q175" s="39"/>
    </x:row>
    <x:row r="176">
      <x:c r="B176" s="34"/>
      <x:c r="C176" t="str">
        <x:f>IF(B176="","",TEXT(B176,"yyyy-mm"))</x:f>
      </x:c>
      <x:c r="K176" s="28"/>
      <x:c r="L176" s="28"/>
      <x:c r="M176" s="28" t="str">
        <x:f>IF(F176="","",IFERROR(LOOKUP(2,1/($F$4:F175=F176),$K$4:K175),""))</x:f>
      </x:c>
      <x:c r="N176" s="26" t="str">
        <x:f>IF(OR(K176="",M176="",M176=0),"",(K176-M176)/M176)</x:f>
      </x:c>
      <x:c r="O176" t="str">
        <x:f>IF(N176="","",IF(ABS(N176)&gt;=Settings!$B$9,"ALERT",""))</x:f>
      </x:c>
      <x:c r="Q176" s="39"/>
    </x:row>
    <x:row r="177">
      <x:c r="B177" s="34"/>
      <x:c r="C177" t="str">
        <x:f>IF(B177="","",TEXT(B177,"yyyy-mm"))</x:f>
      </x:c>
      <x:c r="K177" s="28"/>
      <x:c r="L177" s="28"/>
      <x:c r="M177" s="28" t="str">
        <x:f>IF(F177="","",IFERROR(LOOKUP(2,1/($F$4:F176=F177),$K$4:K176),""))</x:f>
      </x:c>
      <x:c r="N177" s="26" t="str">
        <x:f>IF(OR(K177="",M177="",M177=0),"",(K177-M177)/M177)</x:f>
      </x:c>
      <x:c r="O177" t="str">
        <x:f>IF(N177="","",IF(ABS(N177)&gt;=Settings!$B$9,"ALERT",""))</x:f>
      </x:c>
      <x:c r="Q177" s="39"/>
    </x:row>
    <x:row r="178">
      <x:c r="B178" s="34"/>
      <x:c r="C178" t="str">
        <x:f>IF(B178="","",TEXT(B178,"yyyy-mm"))</x:f>
      </x:c>
      <x:c r="K178" s="28"/>
      <x:c r="L178" s="28"/>
      <x:c r="M178" s="28" t="str">
        <x:f>IF(F178="","",IFERROR(LOOKUP(2,1/($F$4:F177=F178),$K$4:K177),""))</x:f>
      </x:c>
      <x:c r="N178" s="26" t="str">
        <x:f>IF(OR(K178="",M178="",M178=0),"",(K178-M178)/M178)</x:f>
      </x:c>
      <x:c r="O178" t="str">
        <x:f>IF(N178="","",IF(ABS(N178)&gt;=Settings!$B$9,"ALERT",""))</x:f>
      </x:c>
      <x:c r="Q178" s="39"/>
    </x:row>
    <x:row r="179">
      <x:c r="B179" s="34"/>
      <x:c r="C179" t="str">
        <x:f>IF(B179="","",TEXT(B179,"yyyy-mm"))</x:f>
      </x:c>
      <x:c r="K179" s="28"/>
      <x:c r="L179" s="28"/>
      <x:c r="M179" s="28" t="str">
        <x:f>IF(F179="","",IFERROR(LOOKUP(2,1/($F$4:F178=F179),$K$4:K178),""))</x:f>
      </x:c>
      <x:c r="N179" s="26" t="str">
        <x:f>IF(OR(K179="",M179="",M179=0),"",(K179-M179)/M179)</x:f>
      </x:c>
      <x:c r="O179" t="str">
        <x:f>IF(N179="","",IF(ABS(N179)&gt;=Settings!$B$9,"ALERT",""))</x:f>
      </x:c>
      <x:c r="Q179" s="39"/>
    </x:row>
    <x:row r="180">
      <x:c r="B180" s="34"/>
      <x:c r="C180" t="str">
        <x:f>IF(B180="","",TEXT(B180,"yyyy-mm"))</x:f>
      </x:c>
      <x:c r="K180" s="28"/>
      <x:c r="L180" s="28"/>
      <x:c r="M180" s="28" t="str">
        <x:f>IF(F180="","",IFERROR(LOOKUP(2,1/($F$4:F179=F180),$K$4:K179),""))</x:f>
      </x:c>
      <x:c r="N180" s="26" t="str">
        <x:f>IF(OR(K180="",M180="",M180=0),"",(K180-M180)/M180)</x:f>
      </x:c>
      <x:c r="O180" t="str">
        <x:f>IF(N180="","",IF(ABS(N180)&gt;=Settings!$B$9,"ALERT",""))</x:f>
      </x:c>
      <x:c r="Q180" s="39"/>
    </x:row>
    <x:row r="181">
      <x:c r="B181" s="34"/>
      <x:c r="C181" t="str">
        <x:f>IF(B181="","",TEXT(B181,"yyyy-mm"))</x:f>
      </x:c>
      <x:c r="K181" s="28"/>
      <x:c r="L181" s="28"/>
      <x:c r="M181" s="28" t="str">
        <x:f>IF(F181="","",IFERROR(LOOKUP(2,1/($F$4:F180=F181),$K$4:K180),""))</x:f>
      </x:c>
      <x:c r="N181" s="26" t="str">
        <x:f>IF(OR(K181="",M181="",M181=0),"",(K181-M181)/M181)</x:f>
      </x:c>
      <x:c r="O181" t="str">
        <x:f>IF(N181="","",IF(ABS(N181)&gt;=Settings!$B$9,"ALERT",""))</x:f>
      </x:c>
      <x:c r="Q181" s="39"/>
    </x:row>
    <x:row r="182">
      <x:c r="B182" s="34"/>
      <x:c r="C182" t="str">
        <x:f>IF(B182="","",TEXT(B182,"yyyy-mm"))</x:f>
      </x:c>
      <x:c r="K182" s="28"/>
      <x:c r="L182" s="28"/>
      <x:c r="M182" s="28" t="str">
        <x:f>IF(F182="","",IFERROR(LOOKUP(2,1/($F$4:F181=F182),$K$4:K181),""))</x:f>
      </x:c>
      <x:c r="N182" s="26" t="str">
        <x:f>IF(OR(K182="",M182="",M182=0),"",(K182-M182)/M182)</x:f>
      </x:c>
      <x:c r="O182" t="str">
        <x:f>IF(N182="","",IF(ABS(N182)&gt;=Settings!$B$9,"ALERT",""))</x:f>
      </x:c>
      <x:c r="Q182" s="39"/>
    </x:row>
    <x:row r="183">
      <x:c r="B183" s="34"/>
      <x:c r="C183" t="str">
        <x:f>IF(B183="","",TEXT(B183,"yyyy-mm"))</x:f>
      </x:c>
      <x:c r="K183" s="28"/>
      <x:c r="L183" s="28"/>
      <x:c r="M183" s="28" t="str">
        <x:f>IF(F183="","",IFERROR(LOOKUP(2,1/($F$4:F182=F183),$K$4:K182),""))</x:f>
      </x:c>
      <x:c r="N183" s="26" t="str">
        <x:f>IF(OR(K183="",M183="",M183=0),"",(K183-M183)/M183)</x:f>
      </x:c>
      <x:c r="O183" t="str">
        <x:f>IF(N183="","",IF(ABS(N183)&gt;=Settings!$B$9,"ALERT",""))</x:f>
      </x:c>
      <x:c r="Q183" s="39"/>
    </x:row>
    <x:row r="184">
      <x:c r="B184" s="34"/>
      <x:c r="C184" t="str">
        <x:f>IF(B184="","",TEXT(B184,"yyyy-mm"))</x:f>
      </x:c>
      <x:c r="K184" s="28"/>
      <x:c r="L184" s="28"/>
      <x:c r="M184" s="28" t="str">
        <x:f>IF(F184="","",IFERROR(LOOKUP(2,1/($F$4:F183=F184),$K$4:K183),""))</x:f>
      </x:c>
      <x:c r="N184" s="26" t="str">
        <x:f>IF(OR(K184="",M184="",M184=0),"",(K184-M184)/M184)</x:f>
      </x:c>
      <x:c r="O184" t="str">
        <x:f>IF(N184="","",IF(ABS(N184)&gt;=Settings!$B$9,"ALERT",""))</x:f>
      </x:c>
      <x:c r="Q184" s="39"/>
    </x:row>
    <x:row r="185">
      <x:c r="B185" s="34"/>
      <x:c r="C185" t="str">
        <x:f>IF(B185="","",TEXT(B185,"yyyy-mm"))</x:f>
      </x:c>
      <x:c r="K185" s="28"/>
      <x:c r="L185" s="28"/>
      <x:c r="M185" s="28" t="str">
        <x:f>IF(F185="","",IFERROR(LOOKUP(2,1/($F$4:F184=F185),$K$4:K184),""))</x:f>
      </x:c>
      <x:c r="N185" s="26" t="str">
        <x:f>IF(OR(K185="",M185="",M185=0),"",(K185-M185)/M185)</x:f>
      </x:c>
      <x:c r="O185" t="str">
        <x:f>IF(N185="","",IF(ABS(N185)&gt;=Settings!$B$9,"ALERT",""))</x:f>
      </x:c>
      <x:c r="Q185" s="39"/>
    </x:row>
    <x:row r="186">
      <x:c r="B186" s="34"/>
      <x:c r="C186" t="str">
        <x:f>IF(B186="","",TEXT(B186,"yyyy-mm"))</x:f>
      </x:c>
      <x:c r="K186" s="28"/>
      <x:c r="L186" s="28"/>
      <x:c r="M186" s="28" t="str">
        <x:f>IF(F186="","",IFERROR(LOOKUP(2,1/($F$4:F185=F186),$K$4:K185),""))</x:f>
      </x:c>
      <x:c r="N186" s="26" t="str">
        <x:f>IF(OR(K186="",M186="",M186=0),"",(K186-M186)/M186)</x:f>
      </x:c>
      <x:c r="O186" t="str">
        <x:f>IF(N186="","",IF(ABS(N186)&gt;=Settings!$B$9,"ALERT",""))</x:f>
      </x:c>
      <x:c r="Q186" s="39"/>
    </x:row>
    <x:row r="187">
      <x:c r="B187" s="34"/>
      <x:c r="C187" t="str">
        <x:f>IF(B187="","",TEXT(B187,"yyyy-mm"))</x:f>
      </x:c>
      <x:c r="K187" s="28"/>
      <x:c r="L187" s="28"/>
      <x:c r="M187" s="28" t="str">
        <x:f>IF(F187="","",IFERROR(LOOKUP(2,1/($F$4:F186=F187),$K$4:K186),""))</x:f>
      </x:c>
      <x:c r="N187" s="26" t="str">
        <x:f>IF(OR(K187="",M187="",M187=0),"",(K187-M187)/M187)</x:f>
      </x:c>
      <x:c r="O187" t="str">
        <x:f>IF(N187="","",IF(ABS(N187)&gt;=Settings!$B$9,"ALERT",""))</x:f>
      </x:c>
      <x:c r="Q187" s="39"/>
    </x:row>
    <x:row r="188">
      <x:c r="B188" s="34"/>
      <x:c r="C188" t="str">
        <x:f>IF(B188="","",TEXT(B188,"yyyy-mm"))</x:f>
      </x:c>
      <x:c r="K188" s="28"/>
      <x:c r="L188" s="28"/>
      <x:c r="M188" s="28" t="str">
        <x:f>IF(F188="","",IFERROR(LOOKUP(2,1/($F$4:F187=F188),$K$4:K187),""))</x:f>
      </x:c>
      <x:c r="N188" s="26" t="str">
        <x:f>IF(OR(K188="",M188="",M188=0),"",(K188-M188)/M188)</x:f>
      </x:c>
      <x:c r="O188" t="str">
        <x:f>IF(N188="","",IF(ABS(N188)&gt;=Settings!$B$9,"ALERT",""))</x:f>
      </x:c>
      <x:c r="Q188" s="39"/>
    </x:row>
    <x:row r="189">
      <x:c r="B189" s="34"/>
      <x:c r="C189" t="str">
        <x:f>IF(B189="","",TEXT(B189,"yyyy-mm"))</x:f>
      </x:c>
      <x:c r="K189" s="28"/>
      <x:c r="L189" s="28"/>
      <x:c r="M189" s="28" t="str">
        <x:f>IF(F189="","",IFERROR(LOOKUP(2,1/($F$4:F188=F189),$K$4:K188),""))</x:f>
      </x:c>
      <x:c r="N189" s="26" t="str">
        <x:f>IF(OR(K189="",M189="",M189=0),"",(K189-M189)/M189)</x:f>
      </x:c>
      <x:c r="O189" t="str">
        <x:f>IF(N189="","",IF(ABS(N189)&gt;=Settings!$B$9,"ALERT",""))</x:f>
      </x:c>
      <x:c r="Q189" s="39"/>
    </x:row>
    <x:row r="190">
      <x:c r="B190" s="34"/>
      <x:c r="C190" t="str">
        <x:f>IF(B190="","",TEXT(B190,"yyyy-mm"))</x:f>
      </x:c>
      <x:c r="K190" s="28"/>
      <x:c r="L190" s="28"/>
      <x:c r="M190" s="28" t="str">
        <x:f>IF(F190="","",IFERROR(LOOKUP(2,1/($F$4:F189=F190),$K$4:K189),""))</x:f>
      </x:c>
      <x:c r="N190" s="26" t="str">
        <x:f>IF(OR(K190="",M190="",M190=0),"",(K190-M190)/M190)</x:f>
      </x:c>
      <x:c r="O190" t="str">
        <x:f>IF(N190="","",IF(ABS(N190)&gt;=Settings!$B$9,"ALERT",""))</x:f>
      </x:c>
      <x:c r="Q190" s="39"/>
    </x:row>
    <x:row r="191">
      <x:c r="B191" s="34"/>
      <x:c r="C191" t="str">
        <x:f>IF(B191="","",TEXT(B191,"yyyy-mm"))</x:f>
      </x:c>
      <x:c r="K191" s="28"/>
      <x:c r="L191" s="28"/>
      <x:c r="M191" s="28" t="str">
        <x:f>IF(F191="","",IFERROR(LOOKUP(2,1/($F$4:F190=F191),$K$4:K190),""))</x:f>
      </x:c>
      <x:c r="N191" s="26" t="str">
        <x:f>IF(OR(K191="",M191="",M191=0),"",(K191-M191)/M191)</x:f>
      </x:c>
      <x:c r="O191" t="str">
        <x:f>IF(N191="","",IF(ABS(N191)&gt;=Settings!$B$9,"ALERT",""))</x:f>
      </x:c>
      <x:c r="Q191" s="39"/>
    </x:row>
    <x:row r="192">
      <x:c r="B192" s="34"/>
      <x:c r="C192" t="str">
        <x:f>IF(B192="","",TEXT(B192,"yyyy-mm"))</x:f>
      </x:c>
      <x:c r="K192" s="28"/>
      <x:c r="L192" s="28"/>
      <x:c r="M192" s="28" t="str">
        <x:f>IF(F192="","",IFERROR(LOOKUP(2,1/($F$4:F191=F192),$K$4:K191),""))</x:f>
      </x:c>
      <x:c r="N192" s="26" t="str">
        <x:f>IF(OR(K192="",M192="",M192=0),"",(K192-M192)/M192)</x:f>
      </x:c>
      <x:c r="O192" t="str">
        <x:f>IF(N192="","",IF(ABS(N192)&gt;=Settings!$B$9,"ALERT",""))</x:f>
      </x:c>
      <x:c r="Q192" s="39"/>
    </x:row>
    <x:row r="193">
      <x:c r="B193" s="34"/>
      <x:c r="C193" t="str">
        <x:f>IF(B193="","",TEXT(B193,"yyyy-mm"))</x:f>
      </x:c>
      <x:c r="K193" s="28"/>
      <x:c r="L193" s="28"/>
      <x:c r="M193" s="28" t="str">
        <x:f>IF(F193="","",IFERROR(LOOKUP(2,1/($F$4:F192=F193),$K$4:K192),""))</x:f>
      </x:c>
      <x:c r="N193" s="26" t="str">
        <x:f>IF(OR(K193="",M193="",M193=0),"",(K193-M193)/M193)</x:f>
      </x:c>
      <x:c r="O193" t="str">
        <x:f>IF(N193="","",IF(ABS(N193)&gt;=Settings!$B$9,"ALERT",""))</x:f>
      </x:c>
      <x:c r="Q193" s="39"/>
    </x:row>
    <x:row r="194">
      <x:c r="B194" s="34"/>
      <x:c r="C194" t="str">
        <x:f>IF(B194="","",TEXT(B194,"yyyy-mm"))</x:f>
      </x:c>
      <x:c r="K194" s="28"/>
      <x:c r="L194" s="28"/>
      <x:c r="M194" s="28" t="str">
        <x:f>IF(F194="","",IFERROR(LOOKUP(2,1/($F$4:F193=F194),$K$4:K193),""))</x:f>
      </x:c>
      <x:c r="N194" s="26" t="str">
        <x:f>IF(OR(K194="",M194="",M194=0),"",(K194-M194)/M194)</x:f>
      </x:c>
      <x:c r="O194" t="str">
        <x:f>IF(N194="","",IF(ABS(N194)&gt;=Settings!$B$9,"ALERT",""))</x:f>
      </x:c>
      <x:c r="Q194" s="39"/>
    </x:row>
    <x:row r="195">
      <x:c r="B195" s="34"/>
      <x:c r="C195" t="str">
        <x:f>IF(B195="","",TEXT(B195,"yyyy-mm"))</x:f>
      </x:c>
      <x:c r="K195" s="28"/>
      <x:c r="L195" s="28"/>
      <x:c r="M195" s="28" t="str">
        <x:f>IF(F195="","",IFERROR(LOOKUP(2,1/($F$4:F194=F195),$K$4:K194),""))</x:f>
      </x:c>
      <x:c r="N195" s="26" t="str">
        <x:f>IF(OR(K195="",M195="",M195=0),"",(K195-M195)/M195)</x:f>
      </x:c>
      <x:c r="O195" t="str">
        <x:f>IF(N195="","",IF(ABS(N195)&gt;=Settings!$B$9,"ALERT",""))</x:f>
      </x:c>
      <x:c r="Q195" s="39"/>
    </x:row>
    <x:row r="196">
      <x:c r="B196" s="34"/>
      <x:c r="C196" t="str">
        <x:f>IF(B196="","",TEXT(B196,"yyyy-mm"))</x:f>
      </x:c>
      <x:c r="K196" s="28"/>
      <x:c r="L196" s="28"/>
      <x:c r="M196" s="28" t="str">
        <x:f>IF(F196="","",IFERROR(LOOKUP(2,1/($F$4:F195=F196),$K$4:K195),""))</x:f>
      </x:c>
      <x:c r="N196" s="26" t="str">
        <x:f>IF(OR(K196="",M196="",M196=0),"",(K196-M196)/M196)</x:f>
      </x:c>
      <x:c r="O196" t="str">
        <x:f>IF(N196="","",IF(ABS(N196)&gt;=Settings!$B$9,"ALERT",""))</x:f>
      </x:c>
      <x:c r="Q196" s="39"/>
    </x:row>
    <x:row r="197">
      <x:c r="B197" s="34"/>
      <x:c r="C197" t="str">
        <x:f>IF(B197="","",TEXT(B197,"yyyy-mm"))</x:f>
      </x:c>
      <x:c r="K197" s="28"/>
      <x:c r="L197" s="28"/>
      <x:c r="M197" s="28" t="str">
        <x:f>IF(F197="","",IFERROR(LOOKUP(2,1/($F$4:F196=F197),$K$4:K196),""))</x:f>
      </x:c>
      <x:c r="N197" s="26" t="str">
        <x:f>IF(OR(K197="",M197="",M197=0),"",(K197-M197)/M197)</x:f>
      </x:c>
      <x:c r="O197" t="str">
        <x:f>IF(N197="","",IF(ABS(N197)&gt;=Settings!$B$9,"ALERT",""))</x:f>
      </x:c>
      <x:c r="Q197" s="39"/>
    </x:row>
    <x:row r="198">
      <x:c r="B198" s="34"/>
      <x:c r="C198" t="str">
        <x:f>IF(B198="","",TEXT(B198,"yyyy-mm"))</x:f>
      </x:c>
      <x:c r="K198" s="28"/>
      <x:c r="L198" s="28"/>
      <x:c r="M198" s="28" t="str">
        <x:f>IF(F198="","",IFERROR(LOOKUP(2,1/($F$4:F197=F198),$K$4:K197),""))</x:f>
      </x:c>
      <x:c r="N198" s="26" t="str">
        <x:f>IF(OR(K198="",M198="",M198=0),"",(K198-M198)/M198)</x:f>
      </x:c>
      <x:c r="O198" t="str">
        <x:f>IF(N198="","",IF(ABS(N198)&gt;=Settings!$B$9,"ALERT",""))</x:f>
      </x:c>
      <x:c r="Q198" s="39"/>
    </x:row>
    <x:row r="199">
      <x:c r="B199" s="34"/>
      <x:c r="C199" t="str">
        <x:f>IF(B199="","",TEXT(B199,"yyyy-mm"))</x:f>
      </x:c>
      <x:c r="K199" s="28"/>
      <x:c r="L199" s="28"/>
      <x:c r="M199" s="28" t="str">
        <x:f>IF(F199="","",IFERROR(LOOKUP(2,1/($F$4:F198=F199),$K$4:K198),""))</x:f>
      </x:c>
      <x:c r="N199" s="26" t="str">
        <x:f>IF(OR(K199="",M199="",M199=0),"",(K199-M199)/M199)</x:f>
      </x:c>
      <x:c r="O199" t="str">
        <x:f>IF(N199="","",IF(ABS(N199)&gt;=Settings!$B$9,"ALERT",""))</x:f>
      </x:c>
      <x:c r="Q199" s="39"/>
    </x:row>
    <x:row r="200">
      <x:c r="B200" s="34"/>
      <x:c r="C200" t="str">
        <x:f>IF(B200="","",TEXT(B200,"yyyy-mm"))</x:f>
      </x:c>
      <x:c r="K200" s="28"/>
      <x:c r="L200" s="28"/>
      <x:c r="M200" s="28" t="str">
        <x:f>IF(F200="","",IFERROR(LOOKUP(2,1/($F$4:F199=F200),$K$4:K199),""))</x:f>
      </x:c>
      <x:c r="N200" s="26" t="str">
        <x:f>IF(OR(K200="",M200="",M200=0),"",(K200-M200)/M200)</x:f>
      </x:c>
      <x:c r="O200" t="str">
        <x:f>IF(N200="","",IF(ABS(N200)&gt;=Settings!$B$9,"ALERT",""))</x:f>
      </x:c>
      <x:c r="Q200" s="39"/>
    </x:row>
    <x:row r="201">
      <x:c r="B201" s="34"/>
      <x:c r="C201" t="str">
        <x:f>IF(B201="","",TEXT(B201,"yyyy-mm"))</x:f>
      </x:c>
      <x:c r="K201" s="28"/>
      <x:c r="L201" s="28"/>
      <x:c r="M201" s="28" t="str">
        <x:f>IF(F201="","",IFERROR(LOOKUP(2,1/($F$4:F200=F201),$K$4:K200),""))</x:f>
      </x:c>
      <x:c r="N201" s="26" t="str">
        <x:f>IF(OR(K201="",M201="",M201=0),"",(K201-M201)/M201)</x:f>
      </x:c>
      <x:c r="O201" t="str">
        <x:f>IF(N201="","",IF(ABS(N201)&gt;=Settings!$B$9,"ALERT",""))</x:f>
      </x:c>
      <x:c r="Q201" s="39"/>
    </x:row>
    <x:row r="202">
      <x:c r="B202" s="34"/>
      <x:c r="C202" t="str">
        <x:f>IF(B202="","",TEXT(B202,"yyyy-mm"))</x:f>
      </x:c>
      <x:c r="K202" s="28"/>
      <x:c r="L202" s="28"/>
      <x:c r="M202" s="28" t="str">
        <x:f>IF(F202="","",IFERROR(LOOKUP(2,1/($F$4:F201=F202),$K$4:K201),""))</x:f>
      </x:c>
      <x:c r="N202" s="26" t="str">
        <x:f>IF(OR(K202="",M202="",M202=0),"",(K202-M202)/M202)</x:f>
      </x:c>
      <x:c r="O202" t="str">
        <x:f>IF(N202="","",IF(ABS(N202)&gt;=Settings!$B$9,"ALERT",""))</x:f>
      </x:c>
      <x:c r="Q202" s="39"/>
    </x:row>
    <x:row r="203">
      <x:c r="B203" s="34"/>
      <x:c r="C203" t="str">
        <x:f>IF(B203="","",TEXT(B203,"yyyy-mm"))</x:f>
      </x:c>
      <x:c r="K203" s="28"/>
      <x:c r="L203" s="28"/>
      <x:c r="M203" s="28" t="str">
        <x:f>IF(F203="","",IFERROR(LOOKUP(2,1/($F$4:F202=F203),$K$4:K202),""))</x:f>
      </x:c>
      <x:c r="N203" s="26" t="str">
        <x:f>IF(OR(K203="",M203="",M203=0),"",(K203-M203)/M203)</x:f>
      </x:c>
      <x:c r="O203" t="str">
        <x:f>IF(N203="","",IF(ABS(N203)&gt;=Settings!$B$9,"ALERT",""))</x:f>
      </x:c>
      <x:c r="Q203" s="39"/>
    </x:row>
    <x:row r="204">
      <x:c r="B204" s="34"/>
      <x:c r="C204" t="str">
        <x:f>IF(B204="","",TEXT(B204,"yyyy-mm"))</x:f>
      </x:c>
      <x:c r="K204" s="28"/>
      <x:c r="L204" s="28"/>
      <x:c r="M204" s="28" t="str">
        <x:f>IF(F204="","",IFERROR(LOOKUP(2,1/($F$4:F203=F204),$K$4:K203),""))</x:f>
      </x:c>
      <x:c r="N204" s="26" t="str">
        <x:f>IF(OR(K204="",M204="",M204=0),"",(K204-M204)/M204)</x:f>
      </x:c>
      <x:c r="O204" t="str">
        <x:f>IF(N204="","",IF(ABS(N204)&gt;=Settings!$B$9,"ALERT",""))</x:f>
      </x:c>
      <x:c r="Q204" s="39"/>
    </x:row>
  </x:sheetData>
  <x:mergeCells>
    <x:mergeCell ref="A1:S2"/>
  </x:mergeCells>
  <x:conditionalFormatting sqref="O5:O204">
    <x:cfRule type="expression" dxfId="1" priority="1">
      <x:formula>O5="ALERT"</x:formula>
    </x:cfRule>
  </x:conditionalFormatting>
  <x:dataValidations count="2">
    <x:dataValidation type="list" sqref="H5:H204">
      <x:formula1>Settings!$D$5:$D$13</x:formula1>
    </x:dataValidation>
    <x:dataValidation type="list" sqref="P5:P204">
      <x:formula1>"Matched,New Item,Description Match - Review,Review"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6" hidden="0" customWidth="1"/>
    <x:col min="4" max="4" width="34" hidden="0" customWidth="1"/>
    <x:col min="5" max="5" width="16" hidden="0" customWidth="1"/>
    <x:col min="6" max="6" width="15" hidden="0" customWidth="1"/>
    <x:col min="7" max="7" width="15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4" hidden="0" customWidth="1"/>
    <x:col min="16" max="16" width="13" hidden="0" customWidth="1"/>
    <x:col min="17" max="17" width="26" hidden="0" customWidth="1"/>
  </x:cols>
  <x:sheetData>
    <x:row r="1">
      <x:c r="A1" s="4" t="str">
        <x:v>Item Master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</x:row>
    <x:row r="4">
      <x:c r="A4" s="15" t="str">
        <x:v>Item ID</x:v>
      </x:c>
      <x:c r="B4" s="15" t="str">
        <x:v>Vendor</x:v>
      </x:c>
      <x:c r="C4" s="15" t="str">
        <x:v>Vendor SKU</x:v>
      </x:c>
      <x:c r="D4" s="15" t="str">
        <x:v>Item Name</x:v>
      </x:c>
      <x:c r="E4" s="15" t="str">
        <x:v>Category</x:v>
      </x:c>
      <x:c r="F4" s="15" t="str">
        <x:v>First Purchase Date</x:v>
      </x:c>
      <x:c r="G4" s="15" t="str">
        <x:v>Last Purchase Date</x:v>
      </x:c>
      <x:c r="H4" s="15" t="str">
        <x:v>First Price</x:v>
      </x:c>
      <x:c r="I4" s="15" t="str">
        <x:v>Previous Price</x:v>
      </x:c>
      <x:c r="J4" s="15" t="str">
        <x:v>Current Price</x:v>
      </x:c>
      <x:c r="K4" s="15" t="str">
        <x:v>Price Change %</x:v>
      </x:c>
      <x:c r="L4" s="15" t="str">
        <x:v>Average Price</x:v>
      </x:c>
      <x:c r="M4" s="15" t="str">
        <x:v>Lowest Price</x:v>
      </x:c>
      <x:c r="N4" s="15" t="str">
        <x:v>Highest Price</x:v>
      </x:c>
      <x:c r="O4" s="15" t="str">
        <x:v>Total Spent</x:v>
      </x:c>
      <x:c r="P4" s="15" t="str">
        <x:v>Purchase Count</x:v>
      </x:c>
      <x:c r="Q4" s="15" t="str">
        <x:v>Review Status</x:v>
      </x:c>
    </x:row>
    <x:row r="5">
      <x:c r="A5" s="21"/>
      <x:c r="B5" s="21"/>
      <x:c r="C5" s="21"/>
      <x:c r="D5" s="21"/>
      <x:c r="E5" s="21"/>
      <x:c r="F5" s="30" t="str">
        <x:f>IF(A5="","",IFERROR(MINIFS('Item Price Log'!$B$5:$B$204,'Item Price Log'!$F$5:$F$204,A5),""))</x:f>
      </x:c>
      <x:c r="G5" s="30" t="str">
        <x:f>IF(A5="","",IFERROR(MAXIFS('Item Price Log'!$B$5:$B$204,'Item Price Log'!$F$5:$F$204,A5),""))</x:f>
      </x:c>
      <x:c r="H5" s="32"/>
      <x:c r="I5" s="32"/>
      <x:c r="J5" s="32"/>
      <x:c r="K5" s="36" t="str">
        <x:f>IF(OR(I5="",J5="",I5=0),"",(J5-I5)/I5)</x:f>
      </x:c>
      <x:c r="L5" s="32" t="str">
        <x:f>IF(A5="","",IFERROR(AVERAGEIF('Item Price Log'!$F$5:$F$204,A5,'Item Price Log'!$K$5:$K$204),""))</x:f>
      </x:c>
      <x:c r="M5" s="32" t="str">
        <x:f>IF(A5="","",IFERROR(MINIFS('Item Price Log'!$K$5:$K$204,'Item Price Log'!$F$5:$F$204,A5),""))</x:f>
      </x:c>
      <x:c r="N5" s="32" t="str">
        <x:f>IF(A5="","",IFERROR(MAXIFS('Item Price Log'!$K$5:$K$204,'Item Price Log'!$F$5:$F$204,A5),""))</x:f>
      </x:c>
      <x:c r="O5" s="32" t="str">
        <x:f>IF(A5="","",SUMIF('Item Price Log'!$F$5:$F$204,A5,'Item Price Log'!$L$5:$L$204))</x:f>
      </x:c>
      <x:c r="P5" s="21" t="str">
        <x:f>IF(A5="","",COUNTIF('Item Price Log'!$F$5:$F$204,A5))</x:f>
      </x:c>
      <x:c r="Q5" s="21"/>
    </x:row>
    <x:row r="6">
      <x:c r="A6" s="21"/>
      <x:c r="B6" s="21"/>
      <x:c r="C6" s="21"/>
      <x:c r="D6" s="21"/>
      <x:c r="E6" s="21"/>
      <x:c r="F6" s="30" t="str">
        <x:f>IF(A6="","",IFERROR(MINIFS('Item Price Log'!$B$5:$B$204,'Item Price Log'!$F$5:$F$204,A6),""))</x:f>
      </x:c>
      <x:c r="G6" s="30" t="str">
        <x:f>IF(A6="","",IFERROR(MAXIFS('Item Price Log'!$B$5:$B$204,'Item Price Log'!$F$5:$F$204,A6),""))</x:f>
      </x:c>
      <x:c r="H6" s="32"/>
      <x:c r="I6" s="32"/>
      <x:c r="J6" s="32"/>
      <x:c r="K6" s="36" t="str">
        <x:f>IF(OR(I6="",J6="",I6=0),"",(J6-I6)/I6)</x:f>
      </x:c>
      <x:c r="L6" s="32" t="str">
        <x:f>IF(A6="","",IFERROR(AVERAGEIF('Item Price Log'!$F$5:$F$204,A6,'Item Price Log'!$K$5:$K$204),""))</x:f>
      </x:c>
      <x:c r="M6" s="32" t="str">
        <x:f>IF(A6="","",IFERROR(MINIFS('Item Price Log'!$K$5:$K$204,'Item Price Log'!$F$5:$F$204,A6),""))</x:f>
      </x:c>
      <x:c r="N6" s="32" t="str">
        <x:f>IF(A6="","",IFERROR(MAXIFS('Item Price Log'!$K$5:$K$204,'Item Price Log'!$F$5:$F$204,A6),""))</x:f>
      </x:c>
      <x:c r="O6" s="32" t="str">
        <x:f>IF(A6="","",SUMIF('Item Price Log'!$F$5:$F$204,A6,'Item Price Log'!$L$5:$L$204))</x:f>
      </x:c>
      <x:c r="P6" s="21" t="str">
        <x:f>IF(A6="","",COUNTIF('Item Price Log'!$F$5:$F$204,A6))</x:f>
      </x:c>
      <x:c r="Q6" s="21"/>
    </x:row>
    <x:row r="7">
      <x:c r="A7" s="21"/>
      <x:c r="B7" s="21"/>
      <x:c r="C7" s="21"/>
      <x:c r="D7" s="21"/>
      <x:c r="E7" s="21"/>
      <x:c r="F7" s="30" t="str">
        <x:f>IF(A7="","",IFERROR(MINIFS('Item Price Log'!$B$5:$B$204,'Item Price Log'!$F$5:$F$204,A7),""))</x:f>
      </x:c>
      <x:c r="G7" s="30" t="str">
        <x:f>IF(A7="","",IFERROR(MAXIFS('Item Price Log'!$B$5:$B$204,'Item Price Log'!$F$5:$F$204,A7),""))</x:f>
      </x:c>
      <x:c r="H7" s="32"/>
      <x:c r="I7" s="32"/>
      <x:c r="J7" s="32"/>
      <x:c r="K7" s="36" t="str">
        <x:f>IF(OR(I7="",J7="",I7=0),"",(J7-I7)/I7)</x:f>
      </x:c>
      <x:c r="L7" s="32" t="str">
        <x:f>IF(A7="","",IFERROR(AVERAGEIF('Item Price Log'!$F$5:$F$204,A7,'Item Price Log'!$K$5:$K$204),""))</x:f>
      </x:c>
      <x:c r="M7" s="32" t="str">
        <x:f>IF(A7="","",IFERROR(MINIFS('Item Price Log'!$K$5:$K$204,'Item Price Log'!$F$5:$F$204,A7),""))</x:f>
      </x:c>
      <x:c r="N7" s="32" t="str">
        <x:f>IF(A7="","",IFERROR(MAXIFS('Item Price Log'!$K$5:$K$204,'Item Price Log'!$F$5:$F$204,A7),""))</x:f>
      </x:c>
      <x:c r="O7" s="32" t="str">
        <x:f>IF(A7="","",SUMIF('Item Price Log'!$F$5:$F$204,A7,'Item Price Log'!$L$5:$L$204))</x:f>
      </x:c>
      <x:c r="P7" s="21" t="str">
        <x:f>IF(A7="","",COUNTIF('Item Price Log'!$F$5:$F$204,A7))</x:f>
      </x:c>
      <x:c r="Q7" s="21"/>
    </x:row>
    <x:row r="8">
      <x:c r="A8" s="21"/>
      <x:c r="B8" s="21"/>
      <x:c r="C8" s="21"/>
      <x:c r="D8" s="21"/>
      <x:c r="E8" s="21"/>
      <x:c r="F8" s="30" t="str">
        <x:f>IF(A8="","",IFERROR(MINIFS('Item Price Log'!$B$5:$B$204,'Item Price Log'!$F$5:$F$204,A8),""))</x:f>
      </x:c>
      <x:c r="G8" s="30" t="str">
        <x:f>IF(A8="","",IFERROR(MAXIFS('Item Price Log'!$B$5:$B$204,'Item Price Log'!$F$5:$F$204,A8),""))</x:f>
      </x:c>
      <x:c r="H8" s="32"/>
      <x:c r="I8" s="32"/>
      <x:c r="J8" s="32"/>
      <x:c r="K8" s="36" t="str">
        <x:f>IF(OR(I8="",J8="",I8=0),"",(J8-I8)/I8)</x:f>
      </x:c>
      <x:c r="L8" s="32" t="str">
        <x:f>IF(A8="","",IFERROR(AVERAGEIF('Item Price Log'!$F$5:$F$204,A8,'Item Price Log'!$K$5:$K$204),""))</x:f>
      </x:c>
      <x:c r="M8" s="32" t="str">
        <x:f>IF(A8="","",IFERROR(MINIFS('Item Price Log'!$K$5:$K$204,'Item Price Log'!$F$5:$F$204,A8),""))</x:f>
      </x:c>
      <x:c r="N8" s="32" t="str">
        <x:f>IF(A8="","",IFERROR(MAXIFS('Item Price Log'!$K$5:$K$204,'Item Price Log'!$F$5:$F$204,A8),""))</x:f>
      </x:c>
      <x:c r="O8" s="32" t="str">
        <x:f>IF(A8="","",SUMIF('Item Price Log'!$F$5:$F$204,A8,'Item Price Log'!$L$5:$L$204))</x:f>
      </x:c>
      <x:c r="P8" s="21" t="str">
        <x:f>IF(A8="","",COUNTIF('Item Price Log'!$F$5:$F$204,A8))</x:f>
      </x:c>
      <x:c r="Q8" s="21"/>
    </x:row>
    <x:row r="9">
      <x:c r="A9" s="21"/>
      <x:c r="B9" s="21"/>
      <x:c r="C9" s="21"/>
      <x:c r="D9" s="21"/>
      <x:c r="E9" s="21"/>
      <x:c r="F9" s="30" t="str">
        <x:f>IF(A9="","",IFERROR(MINIFS('Item Price Log'!$B$5:$B$204,'Item Price Log'!$F$5:$F$204,A9),""))</x:f>
      </x:c>
      <x:c r="G9" s="30" t="str">
        <x:f>IF(A9="","",IFERROR(MAXIFS('Item Price Log'!$B$5:$B$204,'Item Price Log'!$F$5:$F$204,A9),""))</x:f>
      </x:c>
      <x:c r="H9" s="32"/>
      <x:c r="I9" s="32"/>
      <x:c r="J9" s="32"/>
      <x:c r="K9" s="36" t="str">
        <x:f>IF(OR(I9="",J9="",I9=0),"",(J9-I9)/I9)</x:f>
      </x:c>
      <x:c r="L9" s="32" t="str">
        <x:f>IF(A9="","",IFERROR(AVERAGEIF('Item Price Log'!$F$5:$F$204,A9,'Item Price Log'!$K$5:$K$204),""))</x:f>
      </x:c>
      <x:c r="M9" s="32" t="str">
        <x:f>IF(A9="","",IFERROR(MINIFS('Item Price Log'!$K$5:$K$204,'Item Price Log'!$F$5:$F$204,A9),""))</x:f>
      </x:c>
      <x:c r="N9" s="32" t="str">
        <x:f>IF(A9="","",IFERROR(MAXIFS('Item Price Log'!$K$5:$K$204,'Item Price Log'!$F$5:$F$204,A9),""))</x:f>
      </x:c>
      <x:c r="O9" s="32" t="str">
        <x:f>IF(A9="","",SUMIF('Item Price Log'!$F$5:$F$204,A9,'Item Price Log'!$L$5:$L$204))</x:f>
      </x:c>
      <x:c r="P9" s="21" t="str">
        <x:f>IF(A9="","",COUNTIF('Item Price Log'!$F$5:$F$204,A9))</x:f>
      </x:c>
      <x:c r="Q9" s="21"/>
    </x:row>
    <x:row r="10">
      <x:c r="A10" s="21"/>
      <x:c r="B10" s="21"/>
      <x:c r="C10" s="21"/>
      <x:c r="D10" s="21"/>
      <x:c r="E10" s="21"/>
      <x:c r="F10" s="30" t="str">
        <x:f>IF(A10="","",IFERROR(MINIFS('Item Price Log'!$B$5:$B$204,'Item Price Log'!$F$5:$F$204,A10),""))</x:f>
      </x:c>
      <x:c r="G10" s="30" t="str">
        <x:f>IF(A10="","",IFERROR(MAXIFS('Item Price Log'!$B$5:$B$204,'Item Price Log'!$F$5:$F$204,A10),""))</x:f>
      </x:c>
      <x:c r="H10" s="32"/>
      <x:c r="I10" s="32"/>
      <x:c r="J10" s="32"/>
      <x:c r="K10" s="36" t="str">
        <x:f>IF(OR(I10="",J10="",I10=0),"",(J10-I10)/I10)</x:f>
      </x:c>
      <x:c r="L10" s="32" t="str">
        <x:f>IF(A10="","",IFERROR(AVERAGEIF('Item Price Log'!$F$5:$F$204,A10,'Item Price Log'!$K$5:$K$204),""))</x:f>
      </x:c>
      <x:c r="M10" s="32" t="str">
        <x:f>IF(A10="","",IFERROR(MINIFS('Item Price Log'!$K$5:$K$204,'Item Price Log'!$F$5:$F$204,A10),""))</x:f>
      </x:c>
      <x:c r="N10" s="32" t="str">
        <x:f>IF(A10="","",IFERROR(MAXIFS('Item Price Log'!$K$5:$K$204,'Item Price Log'!$F$5:$F$204,A10),""))</x:f>
      </x:c>
      <x:c r="O10" s="32" t="str">
        <x:f>IF(A10="","",SUMIF('Item Price Log'!$F$5:$F$204,A10,'Item Price Log'!$L$5:$L$204))</x:f>
      </x:c>
      <x:c r="P10" s="21" t="str">
        <x:f>IF(A10="","",COUNTIF('Item Price Log'!$F$5:$F$204,A10))</x:f>
      </x:c>
      <x:c r="Q10" s="21"/>
    </x:row>
    <x:row r="11">
      <x:c r="A11" s="21"/>
      <x:c r="B11" s="21"/>
      <x:c r="C11" s="21"/>
      <x:c r="D11" s="21"/>
      <x:c r="E11" s="21"/>
      <x:c r="F11" s="30" t="str">
        <x:f>IF(A11="","",IFERROR(MINIFS('Item Price Log'!$B$5:$B$204,'Item Price Log'!$F$5:$F$204,A11),""))</x:f>
      </x:c>
      <x:c r="G11" s="30" t="str">
        <x:f>IF(A11="","",IFERROR(MAXIFS('Item Price Log'!$B$5:$B$204,'Item Price Log'!$F$5:$F$204,A11),""))</x:f>
      </x:c>
      <x:c r="H11" s="32"/>
      <x:c r="I11" s="32"/>
      <x:c r="J11" s="32"/>
      <x:c r="K11" s="36" t="str">
        <x:f>IF(OR(I11="",J11="",I11=0),"",(J11-I11)/I11)</x:f>
      </x:c>
      <x:c r="L11" s="32" t="str">
        <x:f>IF(A11="","",IFERROR(AVERAGEIF('Item Price Log'!$F$5:$F$204,A11,'Item Price Log'!$K$5:$K$204),""))</x:f>
      </x:c>
      <x:c r="M11" s="32" t="str">
        <x:f>IF(A11="","",IFERROR(MINIFS('Item Price Log'!$K$5:$K$204,'Item Price Log'!$F$5:$F$204,A11),""))</x:f>
      </x:c>
      <x:c r="N11" s="32" t="str">
        <x:f>IF(A11="","",IFERROR(MAXIFS('Item Price Log'!$K$5:$K$204,'Item Price Log'!$F$5:$F$204,A11),""))</x:f>
      </x:c>
      <x:c r="O11" s="32" t="str">
        <x:f>IF(A11="","",SUMIF('Item Price Log'!$F$5:$F$204,A11,'Item Price Log'!$L$5:$L$204))</x:f>
      </x:c>
      <x:c r="P11" s="21" t="str">
        <x:f>IF(A11="","",COUNTIF('Item Price Log'!$F$5:$F$204,A11))</x:f>
      </x:c>
      <x:c r="Q11" s="21"/>
    </x:row>
    <x:row r="12">
      <x:c r="A12" s="21"/>
      <x:c r="B12" s="21"/>
      <x:c r="C12" s="21"/>
      <x:c r="D12" s="21"/>
      <x:c r="E12" s="21"/>
      <x:c r="F12" s="30" t="str">
        <x:f>IF(A12="","",IFERROR(MINIFS('Item Price Log'!$B$5:$B$204,'Item Price Log'!$F$5:$F$204,A12),""))</x:f>
      </x:c>
      <x:c r="G12" s="30" t="str">
        <x:f>IF(A12="","",IFERROR(MAXIFS('Item Price Log'!$B$5:$B$204,'Item Price Log'!$F$5:$F$204,A12),""))</x:f>
      </x:c>
      <x:c r="H12" s="32"/>
      <x:c r="I12" s="32"/>
      <x:c r="J12" s="32"/>
      <x:c r="K12" s="36" t="str">
        <x:f>IF(OR(I12="",J12="",I12=0),"",(J12-I12)/I12)</x:f>
      </x:c>
      <x:c r="L12" s="32" t="str">
        <x:f>IF(A12="","",IFERROR(AVERAGEIF('Item Price Log'!$F$5:$F$204,A12,'Item Price Log'!$K$5:$K$204),""))</x:f>
      </x:c>
      <x:c r="M12" s="32" t="str">
        <x:f>IF(A12="","",IFERROR(MINIFS('Item Price Log'!$K$5:$K$204,'Item Price Log'!$F$5:$F$204,A12),""))</x:f>
      </x:c>
      <x:c r="N12" s="32" t="str">
        <x:f>IF(A12="","",IFERROR(MAXIFS('Item Price Log'!$K$5:$K$204,'Item Price Log'!$F$5:$F$204,A12),""))</x:f>
      </x:c>
      <x:c r="O12" s="32" t="str">
        <x:f>IF(A12="","",SUMIF('Item Price Log'!$F$5:$F$204,A12,'Item Price Log'!$L$5:$L$204))</x:f>
      </x:c>
      <x:c r="P12" s="21" t="str">
        <x:f>IF(A12="","",COUNTIF('Item Price Log'!$F$5:$F$204,A12))</x:f>
      </x:c>
      <x:c r="Q12" s="21"/>
    </x:row>
    <x:row r="13">
      <x:c r="A13" s="21"/>
      <x:c r="B13" s="21"/>
      <x:c r="C13" s="21"/>
      <x:c r="D13" s="21"/>
      <x:c r="E13" s="21"/>
      <x:c r="F13" s="30" t="str">
        <x:f>IF(A13="","",IFERROR(MINIFS('Item Price Log'!$B$5:$B$204,'Item Price Log'!$F$5:$F$204,A13),""))</x:f>
      </x:c>
      <x:c r="G13" s="30" t="str">
        <x:f>IF(A13="","",IFERROR(MAXIFS('Item Price Log'!$B$5:$B$204,'Item Price Log'!$F$5:$F$204,A13),""))</x:f>
      </x:c>
      <x:c r="H13" s="32"/>
      <x:c r="I13" s="32"/>
      <x:c r="J13" s="32"/>
      <x:c r="K13" s="36" t="str">
        <x:f>IF(OR(I13="",J13="",I13=0),"",(J13-I13)/I13)</x:f>
      </x:c>
      <x:c r="L13" s="32" t="str">
        <x:f>IF(A13="","",IFERROR(AVERAGEIF('Item Price Log'!$F$5:$F$204,A13,'Item Price Log'!$K$5:$K$204),""))</x:f>
      </x:c>
      <x:c r="M13" s="32" t="str">
        <x:f>IF(A13="","",IFERROR(MINIFS('Item Price Log'!$K$5:$K$204,'Item Price Log'!$F$5:$F$204,A13),""))</x:f>
      </x:c>
      <x:c r="N13" s="32" t="str">
        <x:f>IF(A13="","",IFERROR(MAXIFS('Item Price Log'!$K$5:$K$204,'Item Price Log'!$F$5:$F$204,A13),""))</x:f>
      </x:c>
      <x:c r="O13" s="32" t="str">
        <x:f>IF(A13="","",SUMIF('Item Price Log'!$F$5:$F$204,A13,'Item Price Log'!$L$5:$L$204))</x:f>
      </x:c>
      <x:c r="P13" s="21" t="str">
        <x:f>IF(A13="","",COUNTIF('Item Price Log'!$F$5:$F$204,A13))</x:f>
      </x:c>
      <x:c r="Q13" s="21"/>
    </x:row>
    <x:row r="14">
      <x:c r="A14" s="21"/>
      <x:c r="B14" s="21"/>
      <x:c r="C14" s="21"/>
      <x:c r="D14" s="21"/>
      <x:c r="E14" s="21"/>
      <x:c r="F14" s="30" t="str">
        <x:f>IF(A14="","",IFERROR(MINIFS('Item Price Log'!$B$5:$B$204,'Item Price Log'!$F$5:$F$204,A14),""))</x:f>
      </x:c>
      <x:c r="G14" s="30" t="str">
        <x:f>IF(A14="","",IFERROR(MAXIFS('Item Price Log'!$B$5:$B$204,'Item Price Log'!$F$5:$F$204,A14),""))</x:f>
      </x:c>
      <x:c r="H14" s="32"/>
      <x:c r="I14" s="32"/>
      <x:c r="J14" s="32"/>
      <x:c r="K14" s="36" t="str">
        <x:f>IF(OR(I14="",J14="",I14=0),"",(J14-I14)/I14)</x:f>
      </x:c>
      <x:c r="L14" s="32" t="str">
        <x:f>IF(A14="","",IFERROR(AVERAGEIF('Item Price Log'!$F$5:$F$204,A14,'Item Price Log'!$K$5:$K$204),""))</x:f>
      </x:c>
      <x:c r="M14" s="32" t="str">
        <x:f>IF(A14="","",IFERROR(MINIFS('Item Price Log'!$K$5:$K$204,'Item Price Log'!$F$5:$F$204,A14),""))</x:f>
      </x:c>
      <x:c r="N14" s="32" t="str">
        <x:f>IF(A14="","",IFERROR(MAXIFS('Item Price Log'!$K$5:$K$204,'Item Price Log'!$F$5:$F$204,A14),""))</x:f>
      </x:c>
      <x:c r="O14" s="32" t="str">
        <x:f>IF(A14="","",SUMIF('Item Price Log'!$F$5:$F$204,A14,'Item Price Log'!$L$5:$L$204))</x:f>
      </x:c>
      <x:c r="P14" s="21" t="str">
        <x:f>IF(A14="","",COUNTIF('Item Price Log'!$F$5:$F$204,A14))</x:f>
      </x:c>
      <x:c r="Q14" s="21"/>
    </x:row>
    <x:row r="15">
      <x:c r="A15" s="21"/>
      <x:c r="B15" s="21"/>
      <x:c r="C15" s="21"/>
      <x:c r="D15" s="21"/>
      <x:c r="E15" s="21"/>
      <x:c r="F15" s="30" t="str">
        <x:f>IF(A15="","",IFERROR(MINIFS('Item Price Log'!$B$5:$B$204,'Item Price Log'!$F$5:$F$204,A15),""))</x:f>
      </x:c>
      <x:c r="G15" s="30" t="str">
        <x:f>IF(A15="","",IFERROR(MAXIFS('Item Price Log'!$B$5:$B$204,'Item Price Log'!$F$5:$F$204,A15),""))</x:f>
      </x:c>
      <x:c r="H15" s="32"/>
      <x:c r="I15" s="32"/>
      <x:c r="J15" s="32"/>
      <x:c r="K15" s="36" t="str">
        <x:f>IF(OR(I15="",J15="",I15=0),"",(J15-I15)/I15)</x:f>
      </x:c>
      <x:c r="L15" s="32" t="str">
        <x:f>IF(A15="","",IFERROR(AVERAGEIF('Item Price Log'!$F$5:$F$204,A15,'Item Price Log'!$K$5:$K$204),""))</x:f>
      </x:c>
      <x:c r="M15" s="32" t="str">
        <x:f>IF(A15="","",IFERROR(MINIFS('Item Price Log'!$K$5:$K$204,'Item Price Log'!$F$5:$F$204,A15),""))</x:f>
      </x:c>
      <x:c r="N15" s="32" t="str">
        <x:f>IF(A15="","",IFERROR(MAXIFS('Item Price Log'!$K$5:$K$204,'Item Price Log'!$F$5:$F$204,A15),""))</x:f>
      </x:c>
      <x:c r="O15" s="32" t="str">
        <x:f>IF(A15="","",SUMIF('Item Price Log'!$F$5:$F$204,A15,'Item Price Log'!$L$5:$L$204))</x:f>
      </x:c>
      <x:c r="P15" s="21" t="str">
        <x:f>IF(A15="","",COUNTIF('Item Price Log'!$F$5:$F$204,A15))</x:f>
      </x:c>
      <x:c r="Q15" s="21"/>
    </x:row>
    <x:row r="16">
      <x:c r="A16" s="21"/>
      <x:c r="B16" s="21"/>
      <x:c r="C16" s="21"/>
      <x:c r="D16" s="21"/>
      <x:c r="E16" s="21"/>
      <x:c r="F16" s="30" t="str">
        <x:f>IF(A16="","",IFERROR(MINIFS('Item Price Log'!$B$5:$B$204,'Item Price Log'!$F$5:$F$204,A16),""))</x:f>
      </x:c>
      <x:c r="G16" s="30" t="str">
        <x:f>IF(A16="","",IFERROR(MAXIFS('Item Price Log'!$B$5:$B$204,'Item Price Log'!$F$5:$F$204,A16),""))</x:f>
      </x:c>
      <x:c r="H16" s="32"/>
      <x:c r="I16" s="32"/>
      <x:c r="J16" s="32"/>
      <x:c r="K16" s="36" t="str">
        <x:f>IF(OR(I16="",J16="",I16=0),"",(J16-I16)/I16)</x:f>
      </x:c>
      <x:c r="L16" s="32" t="str">
        <x:f>IF(A16="","",IFERROR(AVERAGEIF('Item Price Log'!$F$5:$F$204,A16,'Item Price Log'!$K$5:$K$204),""))</x:f>
      </x:c>
      <x:c r="M16" s="32" t="str">
        <x:f>IF(A16="","",IFERROR(MINIFS('Item Price Log'!$K$5:$K$204,'Item Price Log'!$F$5:$F$204,A16),""))</x:f>
      </x:c>
      <x:c r="N16" s="32" t="str">
        <x:f>IF(A16="","",IFERROR(MAXIFS('Item Price Log'!$K$5:$K$204,'Item Price Log'!$F$5:$F$204,A16),""))</x:f>
      </x:c>
      <x:c r="O16" s="32" t="str">
        <x:f>IF(A16="","",SUMIF('Item Price Log'!$F$5:$F$204,A16,'Item Price Log'!$L$5:$L$204))</x:f>
      </x:c>
      <x:c r="P16" s="21" t="str">
        <x:f>IF(A16="","",COUNTIF('Item Price Log'!$F$5:$F$204,A16))</x:f>
      </x:c>
      <x:c r="Q16" s="21"/>
    </x:row>
    <x:row r="17">
      <x:c r="A17" s="21"/>
      <x:c r="B17" s="21"/>
      <x:c r="C17" s="21"/>
      <x:c r="D17" s="21"/>
      <x:c r="E17" s="21"/>
      <x:c r="F17" s="30" t="str">
        <x:f>IF(A17="","",IFERROR(MINIFS('Item Price Log'!$B$5:$B$204,'Item Price Log'!$F$5:$F$204,A17),""))</x:f>
      </x:c>
      <x:c r="G17" s="30" t="str">
        <x:f>IF(A17="","",IFERROR(MAXIFS('Item Price Log'!$B$5:$B$204,'Item Price Log'!$F$5:$F$204,A17),""))</x:f>
      </x:c>
      <x:c r="H17" s="32"/>
      <x:c r="I17" s="32"/>
      <x:c r="J17" s="32"/>
      <x:c r="K17" s="36" t="str">
        <x:f>IF(OR(I17="",J17="",I17=0),"",(J17-I17)/I17)</x:f>
      </x:c>
      <x:c r="L17" s="32" t="str">
        <x:f>IF(A17="","",IFERROR(AVERAGEIF('Item Price Log'!$F$5:$F$204,A17,'Item Price Log'!$K$5:$K$204),""))</x:f>
      </x:c>
      <x:c r="M17" s="32" t="str">
        <x:f>IF(A17="","",IFERROR(MINIFS('Item Price Log'!$K$5:$K$204,'Item Price Log'!$F$5:$F$204,A17),""))</x:f>
      </x:c>
      <x:c r="N17" s="32" t="str">
        <x:f>IF(A17="","",IFERROR(MAXIFS('Item Price Log'!$K$5:$K$204,'Item Price Log'!$F$5:$F$204,A17),""))</x:f>
      </x:c>
      <x:c r="O17" s="32" t="str">
        <x:f>IF(A17="","",SUMIF('Item Price Log'!$F$5:$F$204,A17,'Item Price Log'!$L$5:$L$204))</x:f>
      </x:c>
      <x:c r="P17" s="21" t="str">
        <x:f>IF(A17="","",COUNTIF('Item Price Log'!$F$5:$F$204,A17))</x:f>
      </x:c>
      <x:c r="Q17" s="21"/>
    </x:row>
    <x:row r="18">
      <x:c r="A18" s="21"/>
      <x:c r="B18" s="21"/>
      <x:c r="C18" s="21"/>
      <x:c r="D18" s="21"/>
      <x:c r="E18" s="21"/>
      <x:c r="F18" s="30" t="str">
        <x:f>IF(A18="","",IFERROR(MINIFS('Item Price Log'!$B$5:$B$204,'Item Price Log'!$F$5:$F$204,A18),""))</x:f>
      </x:c>
      <x:c r="G18" s="30" t="str">
        <x:f>IF(A18="","",IFERROR(MAXIFS('Item Price Log'!$B$5:$B$204,'Item Price Log'!$F$5:$F$204,A18),""))</x:f>
      </x:c>
      <x:c r="H18" s="32"/>
      <x:c r="I18" s="32"/>
      <x:c r="J18" s="32"/>
      <x:c r="K18" s="36" t="str">
        <x:f>IF(OR(I18="",J18="",I18=0),"",(J18-I18)/I18)</x:f>
      </x:c>
      <x:c r="L18" s="32" t="str">
        <x:f>IF(A18="","",IFERROR(AVERAGEIF('Item Price Log'!$F$5:$F$204,A18,'Item Price Log'!$K$5:$K$204),""))</x:f>
      </x:c>
      <x:c r="M18" s="32" t="str">
        <x:f>IF(A18="","",IFERROR(MINIFS('Item Price Log'!$K$5:$K$204,'Item Price Log'!$F$5:$F$204,A18),""))</x:f>
      </x:c>
      <x:c r="N18" s="32" t="str">
        <x:f>IF(A18="","",IFERROR(MAXIFS('Item Price Log'!$K$5:$K$204,'Item Price Log'!$F$5:$F$204,A18),""))</x:f>
      </x:c>
      <x:c r="O18" s="32" t="str">
        <x:f>IF(A18="","",SUMIF('Item Price Log'!$F$5:$F$204,A18,'Item Price Log'!$L$5:$L$204))</x:f>
      </x:c>
      <x:c r="P18" s="21" t="str">
        <x:f>IF(A18="","",COUNTIF('Item Price Log'!$F$5:$F$204,A18))</x:f>
      </x:c>
      <x:c r="Q18" s="21"/>
    </x:row>
    <x:row r="19">
      <x:c r="A19" s="21"/>
      <x:c r="B19" s="21"/>
      <x:c r="C19" s="21"/>
      <x:c r="D19" s="21"/>
      <x:c r="E19" s="21"/>
      <x:c r="F19" s="30" t="str">
        <x:f>IF(A19="","",IFERROR(MINIFS('Item Price Log'!$B$5:$B$204,'Item Price Log'!$F$5:$F$204,A19),""))</x:f>
      </x:c>
      <x:c r="G19" s="30" t="str">
        <x:f>IF(A19="","",IFERROR(MAXIFS('Item Price Log'!$B$5:$B$204,'Item Price Log'!$F$5:$F$204,A19),""))</x:f>
      </x:c>
      <x:c r="H19" s="32"/>
      <x:c r="I19" s="32"/>
      <x:c r="J19" s="32"/>
      <x:c r="K19" s="36" t="str">
        <x:f>IF(OR(I19="",J19="",I19=0),"",(J19-I19)/I19)</x:f>
      </x:c>
      <x:c r="L19" s="32" t="str">
        <x:f>IF(A19="","",IFERROR(AVERAGEIF('Item Price Log'!$F$5:$F$204,A19,'Item Price Log'!$K$5:$K$204),""))</x:f>
      </x:c>
      <x:c r="M19" s="32" t="str">
        <x:f>IF(A19="","",IFERROR(MINIFS('Item Price Log'!$K$5:$K$204,'Item Price Log'!$F$5:$F$204,A19),""))</x:f>
      </x:c>
      <x:c r="N19" s="32" t="str">
        <x:f>IF(A19="","",IFERROR(MAXIFS('Item Price Log'!$K$5:$K$204,'Item Price Log'!$F$5:$F$204,A19),""))</x:f>
      </x:c>
      <x:c r="O19" s="32" t="str">
        <x:f>IF(A19="","",SUMIF('Item Price Log'!$F$5:$F$204,A19,'Item Price Log'!$L$5:$L$204))</x:f>
      </x:c>
      <x:c r="P19" s="21" t="str">
        <x:f>IF(A19="","",COUNTIF('Item Price Log'!$F$5:$F$204,A19))</x:f>
      </x:c>
      <x:c r="Q19" s="21"/>
    </x:row>
    <x:row r="20">
      <x:c r="A20" s="21"/>
      <x:c r="B20" s="21"/>
      <x:c r="C20" s="21"/>
      <x:c r="D20" s="21"/>
      <x:c r="E20" s="21"/>
      <x:c r="F20" s="30" t="str">
        <x:f>IF(A20="","",IFERROR(MINIFS('Item Price Log'!$B$5:$B$204,'Item Price Log'!$F$5:$F$204,A20),""))</x:f>
      </x:c>
      <x:c r="G20" s="30" t="str">
        <x:f>IF(A20="","",IFERROR(MAXIFS('Item Price Log'!$B$5:$B$204,'Item Price Log'!$F$5:$F$204,A20),""))</x:f>
      </x:c>
      <x:c r="H20" s="32"/>
      <x:c r="I20" s="32"/>
      <x:c r="J20" s="32"/>
      <x:c r="K20" s="36" t="str">
        <x:f>IF(OR(I20="",J20="",I20=0),"",(J20-I20)/I20)</x:f>
      </x:c>
      <x:c r="L20" s="32" t="str">
        <x:f>IF(A20="","",IFERROR(AVERAGEIF('Item Price Log'!$F$5:$F$204,A20,'Item Price Log'!$K$5:$K$204),""))</x:f>
      </x:c>
      <x:c r="M20" s="32" t="str">
        <x:f>IF(A20="","",IFERROR(MINIFS('Item Price Log'!$K$5:$K$204,'Item Price Log'!$F$5:$F$204,A20),""))</x:f>
      </x:c>
      <x:c r="N20" s="32" t="str">
        <x:f>IF(A20="","",IFERROR(MAXIFS('Item Price Log'!$K$5:$K$204,'Item Price Log'!$F$5:$F$204,A20),""))</x:f>
      </x:c>
      <x:c r="O20" s="32" t="str">
        <x:f>IF(A20="","",SUMIF('Item Price Log'!$F$5:$F$204,A20,'Item Price Log'!$L$5:$L$204))</x:f>
      </x:c>
      <x:c r="P20" s="21" t="str">
        <x:f>IF(A20="","",COUNTIF('Item Price Log'!$F$5:$F$204,A20))</x:f>
      </x:c>
      <x:c r="Q20" s="21"/>
    </x:row>
    <x:row r="21">
      <x:c r="A21" s="21"/>
      <x:c r="B21" s="21"/>
      <x:c r="C21" s="21"/>
      <x:c r="D21" s="21"/>
      <x:c r="E21" s="21"/>
      <x:c r="F21" s="30" t="str">
        <x:f>IF(A21="","",IFERROR(MINIFS('Item Price Log'!$B$5:$B$204,'Item Price Log'!$F$5:$F$204,A21),""))</x:f>
      </x:c>
      <x:c r="G21" s="30" t="str">
        <x:f>IF(A21="","",IFERROR(MAXIFS('Item Price Log'!$B$5:$B$204,'Item Price Log'!$F$5:$F$204,A21),""))</x:f>
      </x:c>
      <x:c r="H21" s="32"/>
      <x:c r="I21" s="32"/>
      <x:c r="J21" s="32"/>
      <x:c r="K21" s="36" t="str">
        <x:f>IF(OR(I21="",J21="",I21=0),"",(J21-I21)/I21)</x:f>
      </x:c>
      <x:c r="L21" s="32" t="str">
        <x:f>IF(A21="","",IFERROR(AVERAGEIF('Item Price Log'!$F$5:$F$204,A21,'Item Price Log'!$K$5:$K$204),""))</x:f>
      </x:c>
      <x:c r="M21" s="32" t="str">
        <x:f>IF(A21="","",IFERROR(MINIFS('Item Price Log'!$K$5:$K$204,'Item Price Log'!$F$5:$F$204,A21),""))</x:f>
      </x:c>
      <x:c r="N21" s="32" t="str">
        <x:f>IF(A21="","",IFERROR(MAXIFS('Item Price Log'!$K$5:$K$204,'Item Price Log'!$F$5:$F$204,A21),""))</x:f>
      </x:c>
      <x:c r="O21" s="32" t="str">
        <x:f>IF(A21="","",SUMIF('Item Price Log'!$F$5:$F$204,A21,'Item Price Log'!$L$5:$L$204))</x:f>
      </x:c>
      <x:c r="P21" s="21" t="str">
        <x:f>IF(A21="","",COUNTIF('Item Price Log'!$F$5:$F$204,A21))</x:f>
      </x:c>
      <x:c r="Q21" s="21"/>
    </x:row>
    <x:row r="22">
      <x:c r="A22" s="21"/>
      <x:c r="B22" s="21"/>
      <x:c r="C22" s="21"/>
      <x:c r="D22" s="21"/>
      <x:c r="E22" s="21"/>
      <x:c r="F22" s="30" t="str">
        <x:f>IF(A22="","",IFERROR(MINIFS('Item Price Log'!$B$5:$B$204,'Item Price Log'!$F$5:$F$204,A22),""))</x:f>
      </x:c>
      <x:c r="G22" s="30" t="str">
        <x:f>IF(A22="","",IFERROR(MAXIFS('Item Price Log'!$B$5:$B$204,'Item Price Log'!$F$5:$F$204,A22),""))</x:f>
      </x:c>
      <x:c r="H22" s="32"/>
      <x:c r="I22" s="32"/>
      <x:c r="J22" s="32"/>
      <x:c r="K22" s="36" t="str">
        <x:f>IF(OR(I22="",J22="",I22=0),"",(J22-I22)/I22)</x:f>
      </x:c>
      <x:c r="L22" s="32" t="str">
        <x:f>IF(A22="","",IFERROR(AVERAGEIF('Item Price Log'!$F$5:$F$204,A22,'Item Price Log'!$K$5:$K$204),""))</x:f>
      </x:c>
      <x:c r="M22" s="32" t="str">
        <x:f>IF(A22="","",IFERROR(MINIFS('Item Price Log'!$K$5:$K$204,'Item Price Log'!$F$5:$F$204,A22),""))</x:f>
      </x:c>
      <x:c r="N22" s="32" t="str">
        <x:f>IF(A22="","",IFERROR(MAXIFS('Item Price Log'!$K$5:$K$204,'Item Price Log'!$F$5:$F$204,A22),""))</x:f>
      </x:c>
      <x:c r="O22" s="32" t="str">
        <x:f>IF(A22="","",SUMIF('Item Price Log'!$F$5:$F$204,A22,'Item Price Log'!$L$5:$L$204))</x:f>
      </x:c>
      <x:c r="P22" s="21" t="str">
        <x:f>IF(A22="","",COUNTIF('Item Price Log'!$F$5:$F$204,A22))</x:f>
      </x:c>
      <x:c r="Q22" s="21"/>
    </x:row>
    <x:row r="23">
      <x:c r="A23" s="21"/>
      <x:c r="B23" s="21"/>
      <x:c r="C23" s="21"/>
      <x:c r="D23" s="21"/>
      <x:c r="E23" s="21"/>
      <x:c r="F23" s="30" t="str">
        <x:f>IF(A23="","",IFERROR(MINIFS('Item Price Log'!$B$5:$B$204,'Item Price Log'!$F$5:$F$204,A23),""))</x:f>
      </x:c>
      <x:c r="G23" s="30" t="str">
        <x:f>IF(A23="","",IFERROR(MAXIFS('Item Price Log'!$B$5:$B$204,'Item Price Log'!$F$5:$F$204,A23),""))</x:f>
      </x:c>
      <x:c r="H23" s="32"/>
      <x:c r="I23" s="32"/>
      <x:c r="J23" s="32"/>
      <x:c r="K23" s="36" t="str">
        <x:f>IF(OR(I23="",J23="",I23=0),"",(J23-I23)/I23)</x:f>
      </x:c>
      <x:c r="L23" s="32" t="str">
        <x:f>IF(A23="","",IFERROR(AVERAGEIF('Item Price Log'!$F$5:$F$204,A23,'Item Price Log'!$K$5:$K$204),""))</x:f>
      </x:c>
      <x:c r="M23" s="32" t="str">
        <x:f>IF(A23="","",IFERROR(MINIFS('Item Price Log'!$K$5:$K$204,'Item Price Log'!$F$5:$F$204,A23),""))</x:f>
      </x:c>
      <x:c r="N23" s="32" t="str">
        <x:f>IF(A23="","",IFERROR(MAXIFS('Item Price Log'!$K$5:$K$204,'Item Price Log'!$F$5:$F$204,A23),""))</x:f>
      </x:c>
      <x:c r="O23" s="32" t="str">
        <x:f>IF(A23="","",SUMIF('Item Price Log'!$F$5:$F$204,A23,'Item Price Log'!$L$5:$L$204))</x:f>
      </x:c>
      <x:c r="P23" s="21" t="str">
        <x:f>IF(A23="","",COUNTIF('Item Price Log'!$F$5:$F$204,A23))</x:f>
      </x:c>
      <x:c r="Q23" s="21"/>
    </x:row>
    <x:row r="24">
      <x:c r="A24" s="21"/>
      <x:c r="B24" s="21"/>
      <x:c r="C24" s="21"/>
      <x:c r="D24" s="21"/>
      <x:c r="E24" s="21"/>
      <x:c r="F24" s="30" t="str">
        <x:f>IF(A24="","",IFERROR(MINIFS('Item Price Log'!$B$5:$B$204,'Item Price Log'!$F$5:$F$204,A24),""))</x:f>
      </x:c>
      <x:c r="G24" s="30" t="str">
        <x:f>IF(A24="","",IFERROR(MAXIFS('Item Price Log'!$B$5:$B$204,'Item Price Log'!$F$5:$F$204,A24),""))</x:f>
      </x:c>
      <x:c r="H24" s="32"/>
      <x:c r="I24" s="32"/>
      <x:c r="J24" s="32"/>
      <x:c r="K24" s="36" t="str">
        <x:f>IF(OR(I24="",J24="",I24=0),"",(J24-I24)/I24)</x:f>
      </x:c>
      <x:c r="L24" s="32" t="str">
        <x:f>IF(A24="","",IFERROR(AVERAGEIF('Item Price Log'!$F$5:$F$204,A24,'Item Price Log'!$K$5:$K$204),""))</x:f>
      </x:c>
      <x:c r="M24" s="32" t="str">
        <x:f>IF(A24="","",IFERROR(MINIFS('Item Price Log'!$K$5:$K$204,'Item Price Log'!$F$5:$F$204,A24),""))</x:f>
      </x:c>
      <x:c r="N24" s="32" t="str">
        <x:f>IF(A24="","",IFERROR(MAXIFS('Item Price Log'!$K$5:$K$204,'Item Price Log'!$F$5:$F$204,A24),""))</x:f>
      </x:c>
      <x:c r="O24" s="32" t="str">
        <x:f>IF(A24="","",SUMIF('Item Price Log'!$F$5:$F$204,A24,'Item Price Log'!$L$5:$L$204))</x:f>
      </x:c>
      <x:c r="P24" s="21" t="str">
        <x:f>IF(A24="","",COUNTIF('Item Price Log'!$F$5:$F$204,A24))</x:f>
      </x:c>
      <x:c r="Q24" s="21"/>
    </x:row>
    <x:row r="25">
      <x:c r="A25" s="21"/>
      <x:c r="B25" s="21"/>
      <x:c r="C25" s="21"/>
      <x:c r="D25" s="21"/>
      <x:c r="E25" s="21"/>
      <x:c r="F25" s="30" t="str">
        <x:f>IF(A25="","",IFERROR(MINIFS('Item Price Log'!$B$5:$B$204,'Item Price Log'!$F$5:$F$204,A25),""))</x:f>
      </x:c>
      <x:c r="G25" s="30" t="str">
        <x:f>IF(A25="","",IFERROR(MAXIFS('Item Price Log'!$B$5:$B$204,'Item Price Log'!$F$5:$F$204,A25),""))</x:f>
      </x:c>
      <x:c r="H25" s="32"/>
      <x:c r="I25" s="32"/>
      <x:c r="J25" s="32"/>
      <x:c r="K25" s="36" t="str">
        <x:f>IF(OR(I25="",J25="",I25=0),"",(J25-I25)/I25)</x:f>
      </x:c>
      <x:c r="L25" s="32" t="str">
        <x:f>IF(A25="","",IFERROR(AVERAGEIF('Item Price Log'!$F$5:$F$204,A25,'Item Price Log'!$K$5:$K$204),""))</x:f>
      </x:c>
      <x:c r="M25" s="32" t="str">
        <x:f>IF(A25="","",IFERROR(MINIFS('Item Price Log'!$K$5:$K$204,'Item Price Log'!$F$5:$F$204,A25),""))</x:f>
      </x:c>
      <x:c r="N25" s="32" t="str">
        <x:f>IF(A25="","",IFERROR(MAXIFS('Item Price Log'!$K$5:$K$204,'Item Price Log'!$F$5:$F$204,A25),""))</x:f>
      </x:c>
      <x:c r="O25" s="32" t="str">
        <x:f>IF(A25="","",SUMIF('Item Price Log'!$F$5:$F$204,A25,'Item Price Log'!$L$5:$L$204))</x:f>
      </x:c>
      <x:c r="P25" s="21" t="str">
        <x:f>IF(A25="","",COUNTIF('Item Price Log'!$F$5:$F$204,A25))</x:f>
      </x:c>
      <x:c r="Q25" s="21"/>
    </x:row>
    <x:row r="26">
      <x:c r="A26" s="21"/>
      <x:c r="B26" s="21"/>
      <x:c r="C26" s="21"/>
      <x:c r="D26" s="21"/>
      <x:c r="E26" s="21"/>
      <x:c r="F26" s="30" t="str">
        <x:f>IF(A26="","",IFERROR(MINIFS('Item Price Log'!$B$5:$B$204,'Item Price Log'!$F$5:$F$204,A26),""))</x:f>
      </x:c>
      <x:c r="G26" s="30" t="str">
        <x:f>IF(A26="","",IFERROR(MAXIFS('Item Price Log'!$B$5:$B$204,'Item Price Log'!$F$5:$F$204,A26),""))</x:f>
      </x:c>
      <x:c r="H26" s="32"/>
      <x:c r="I26" s="32"/>
      <x:c r="J26" s="32"/>
      <x:c r="K26" s="36" t="str">
        <x:f>IF(OR(I26="",J26="",I26=0),"",(J26-I26)/I26)</x:f>
      </x:c>
      <x:c r="L26" s="32" t="str">
        <x:f>IF(A26="","",IFERROR(AVERAGEIF('Item Price Log'!$F$5:$F$204,A26,'Item Price Log'!$K$5:$K$204),""))</x:f>
      </x:c>
      <x:c r="M26" s="32" t="str">
        <x:f>IF(A26="","",IFERROR(MINIFS('Item Price Log'!$K$5:$K$204,'Item Price Log'!$F$5:$F$204,A26),""))</x:f>
      </x:c>
      <x:c r="N26" s="32" t="str">
        <x:f>IF(A26="","",IFERROR(MAXIFS('Item Price Log'!$K$5:$K$204,'Item Price Log'!$F$5:$F$204,A26),""))</x:f>
      </x:c>
      <x:c r="O26" s="32" t="str">
        <x:f>IF(A26="","",SUMIF('Item Price Log'!$F$5:$F$204,A26,'Item Price Log'!$L$5:$L$204))</x:f>
      </x:c>
      <x:c r="P26" s="21" t="str">
        <x:f>IF(A26="","",COUNTIF('Item Price Log'!$F$5:$F$204,A26))</x:f>
      </x:c>
      <x:c r="Q26" s="21"/>
    </x:row>
    <x:row r="27">
      <x:c r="A27" s="21"/>
      <x:c r="B27" s="21"/>
      <x:c r="C27" s="21"/>
      <x:c r="D27" s="21"/>
      <x:c r="E27" s="21"/>
      <x:c r="F27" s="30" t="str">
        <x:f>IF(A27="","",IFERROR(MINIFS('Item Price Log'!$B$5:$B$204,'Item Price Log'!$F$5:$F$204,A27),""))</x:f>
      </x:c>
      <x:c r="G27" s="30" t="str">
        <x:f>IF(A27="","",IFERROR(MAXIFS('Item Price Log'!$B$5:$B$204,'Item Price Log'!$F$5:$F$204,A27),""))</x:f>
      </x:c>
      <x:c r="H27" s="32"/>
      <x:c r="I27" s="32"/>
      <x:c r="J27" s="32"/>
      <x:c r="K27" s="36" t="str">
        <x:f>IF(OR(I27="",J27="",I27=0),"",(J27-I27)/I27)</x:f>
      </x:c>
      <x:c r="L27" s="32" t="str">
        <x:f>IF(A27="","",IFERROR(AVERAGEIF('Item Price Log'!$F$5:$F$204,A27,'Item Price Log'!$K$5:$K$204),""))</x:f>
      </x:c>
      <x:c r="M27" s="32" t="str">
        <x:f>IF(A27="","",IFERROR(MINIFS('Item Price Log'!$K$5:$K$204,'Item Price Log'!$F$5:$F$204,A27),""))</x:f>
      </x:c>
      <x:c r="N27" s="32" t="str">
        <x:f>IF(A27="","",IFERROR(MAXIFS('Item Price Log'!$K$5:$K$204,'Item Price Log'!$F$5:$F$204,A27),""))</x:f>
      </x:c>
      <x:c r="O27" s="32" t="str">
        <x:f>IF(A27="","",SUMIF('Item Price Log'!$F$5:$F$204,A27,'Item Price Log'!$L$5:$L$204))</x:f>
      </x:c>
      <x:c r="P27" s="21" t="str">
        <x:f>IF(A27="","",COUNTIF('Item Price Log'!$F$5:$F$204,A27))</x:f>
      </x:c>
      <x:c r="Q27" s="21"/>
    </x:row>
    <x:row r="28">
      <x:c r="A28" s="21"/>
      <x:c r="B28" s="21"/>
      <x:c r="C28" s="21"/>
      <x:c r="D28" s="21"/>
      <x:c r="E28" s="21"/>
      <x:c r="F28" s="30" t="str">
        <x:f>IF(A28="","",IFERROR(MINIFS('Item Price Log'!$B$5:$B$204,'Item Price Log'!$F$5:$F$204,A28),""))</x:f>
      </x:c>
      <x:c r="G28" s="30" t="str">
        <x:f>IF(A28="","",IFERROR(MAXIFS('Item Price Log'!$B$5:$B$204,'Item Price Log'!$F$5:$F$204,A28),""))</x:f>
      </x:c>
      <x:c r="H28" s="32"/>
      <x:c r="I28" s="32"/>
      <x:c r="J28" s="32"/>
      <x:c r="K28" s="36" t="str">
        <x:f>IF(OR(I28="",J28="",I28=0),"",(J28-I28)/I28)</x:f>
      </x:c>
      <x:c r="L28" s="32" t="str">
        <x:f>IF(A28="","",IFERROR(AVERAGEIF('Item Price Log'!$F$5:$F$204,A28,'Item Price Log'!$K$5:$K$204),""))</x:f>
      </x:c>
      <x:c r="M28" s="32" t="str">
        <x:f>IF(A28="","",IFERROR(MINIFS('Item Price Log'!$K$5:$K$204,'Item Price Log'!$F$5:$F$204,A28),""))</x:f>
      </x:c>
      <x:c r="N28" s="32" t="str">
        <x:f>IF(A28="","",IFERROR(MAXIFS('Item Price Log'!$K$5:$K$204,'Item Price Log'!$F$5:$F$204,A28),""))</x:f>
      </x:c>
      <x:c r="O28" s="32" t="str">
        <x:f>IF(A28="","",SUMIF('Item Price Log'!$F$5:$F$204,A28,'Item Price Log'!$L$5:$L$204))</x:f>
      </x:c>
      <x:c r="P28" s="21" t="str">
        <x:f>IF(A28="","",COUNTIF('Item Price Log'!$F$5:$F$204,A28))</x:f>
      </x:c>
      <x:c r="Q28" s="21"/>
    </x:row>
    <x:row r="29">
      <x:c r="A29" s="21"/>
      <x:c r="B29" s="21"/>
      <x:c r="C29" s="21"/>
      <x:c r="D29" s="21"/>
      <x:c r="E29" s="21"/>
      <x:c r="F29" s="30" t="str">
        <x:f>IF(A29="","",IFERROR(MINIFS('Item Price Log'!$B$5:$B$204,'Item Price Log'!$F$5:$F$204,A29),""))</x:f>
      </x:c>
      <x:c r="G29" s="30" t="str">
        <x:f>IF(A29="","",IFERROR(MAXIFS('Item Price Log'!$B$5:$B$204,'Item Price Log'!$F$5:$F$204,A29),""))</x:f>
      </x:c>
      <x:c r="H29" s="32"/>
      <x:c r="I29" s="32"/>
      <x:c r="J29" s="32"/>
      <x:c r="K29" s="36" t="str">
        <x:f>IF(OR(I29="",J29="",I29=0),"",(J29-I29)/I29)</x:f>
      </x:c>
      <x:c r="L29" s="32" t="str">
        <x:f>IF(A29="","",IFERROR(AVERAGEIF('Item Price Log'!$F$5:$F$204,A29,'Item Price Log'!$K$5:$K$204),""))</x:f>
      </x:c>
      <x:c r="M29" s="32" t="str">
        <x:f>IF(A29="","",IFERROR(MINIFS('Item Price Log'!$K$5:$K$204,'Item Price Log'!$F$5:$F$204,A29),""))</x:f>
      </x:c>
      <x:c r="N29" s="32" t="str">
        <x:f>IF(A29="","",IFERROR(MAXIFS('Item Price Log'!$K$5:$K$204,'Item Price Log'!$F$5:$F$204,A29),""))</x:f>
      </x:c>
      <x:c r="O29" s="32" t="str">
        <x:f>IF(A29="","",SUMIF('Item Price Log'!$F$5:$F$204,A29,'Item Price Log'!$L$5:$L$204))</x:f>
      </x:c>
      <x:c r="P29" s="21" t="str">
        <x:f>IF(A29="","",COUNTIF('Item Price Log'!$F$5:$F$204,A29))</x:f>
      </x:c>
      <x:c r="Q29" s="21"/>
    </x:row>
    <x:row r="30">
      <x:c r="A30" s="21"/>
      <x:c r="B30" s="21"/>
      <x:c r="C30" s="21"/>
      <x:c r="D30" s="21"/>
      <x:c r="E30" s="21"/>
      <x:c r="F30" s="30" t="str">
        <x:f>IF(A30="","",IFERROR(MINIFS('Item Price Log'!$B$5:$B$204,'Item Price Log'!$F$5:$F$204,A30),""))</x:f>
      </x:c>
      <x:c r="G30" s="30" t="str">
        <x:f>IF(A30="","",IFERROR(MAXIFS('Item Price Log'!$B$5:$B$204,'Item Price Log'!$F$5:$F$204,A30),""))</x:f>
      </x:c>
      <x:c r="H30" s="32"/>
      <x:c r="I30" s="32"/>
      <x:c r="J30" s="32"/>
      <x:c r="K30" s="36" t="str">
        <x:f>IF(OR(I30="",J30="",I30=0),"",(J30-I30)/I30)</x:f>
      </x:c>
      <x:c r="L30" s="32" t="str">
        <x:f>IF(A30="","",IFERROR(AVERAGEIF('Item Price Log'!$F$5:$F$204,A30,'Item Price Log'!$K$5:$K$204),""))</x:f>
      </x:c>
      <x:c r="M30" s="32" t="str">
        <x:f>IF(A30="","",IFERROR(MINIFS('Item Price Log'!$K$5:$K$204,'Item Price Log'!$F$5:$F$204,A30),""))</x:f>
      </x:c>
      <x:c r="N30" s="32" t="str">
        <x:f>IF(A30="","",IFERROR(MAXIFS('Item Price Log'!$K$5:$K$204,'Item Price Log'!$F$5:$F$204,A30),""))</x:f>
      </x:c>
      <x:c r="O30" s="32" t="str">
        <x:f>IF(A30="","",SUMIF('Item Price Log'!$F$5:$F$204,A30,'Item Price Log'!$L$5:$L$204))</x:f>
      </x:c>
      <x:c r="P30" s="21" t="str">
        <x:f>IF(A30="","",COUNTIF('Item Price Log'!$F$5:$F$204,A30))</x:f>
      </x:c>
      <x:c r="Q30" s="21"/>
    </x:row>
    <x:row r="31">
      <x:c r="A31" s="21"/>
      <x:c r="B31" s="21"/>
      <x:c r="C31" s="21"/>
      <x:c r="D31" s="21"/>
      <x:c r="E31" s="21"/>
      <x:c r="F31" s="30" t="str">
        <x:f>IF(A31="","",IFERROR(MINIFS('Item Price Log'!$B$5:$B$204,'Item Price Log'!$F$5:$F$204,A31),""))</x:f>
      </x:c>
      <x:c r="G31" s="30" t="str">
        <x:f>IF(A31="","",IFERROR(MAXIFS('Item Price Log'!$B$5:$B$204,'Item Price Log'!$F$5:$F$204,A31),""))</x:f>
      </x:c>
      <x:c r="H31" s="32"/>
      <x:c r="I31" s="32"/>
      <x:c r="J31" s="32"/>
      <x:c r="K31" s="36" t="str">
        <x:f>IF(OR(I31="",J31="",I31=0),"",(J31-I31)/I31)</x:f>
      </x:c>
      <x:c r="L31" s="32" t="str">
        <x:f>IF(A31="","",IFERROR(AVERAGEIF('Item Price Log'!$F$5:$F$204,A31,'Item Price Log'!$K$5:$K$204),""))</x:f>
      </x:c>
      <x:c r="M31" s="32" t="str">
        <x:f>IF(A31="","",IFERROR(MINIFS('Item Price Log'!$K$5:$K$204,'Item Price Log'!$F$5:$F$204,A31),""))</x:f>
      </x:c>
      <x:c r="N31" s="32" t="str">
        <x:f>IF(A31="","",IFERROR(MAXIFS('Item Price Log'!$K$5:$K$204,'Item Price Log'!$F$5:$F$204,A31),""))</x:f>
      </x:c>
      <x:c r="O31" s="32" t="str">
        <x:f>IF(A31="","",SUMIF('Item Price Log'!$F$5:$F$204,A31,'Item Price Log'!$L$5:$L$204))</x:f>
      </x:c>
      <x:c r="P31" s="21" t="str">
        <x:f>IF(A31="","",COUNTIF('Item Price Log'!$F$5:$F$204,A31))</x:f>
      </x:c>
      <x:c r="Q31" s="21"/>
    </x:row>
    <x:row r="32">
      <x:c r="A32" s="21"/>
      <x:c r="B32" s="21"/>
      <x:c r="C32" s="21"/>
      <x:c r="D32" s="21"/>
      <x:c r="E32" s="21"/>
      <x:c r="F32" s="30" t="str">
        <x:f>IF(A32="","",IFERROR(MINIFS('Item Price Log'!$B$5:$B$204,'Item Price Log'!$F$5:$F$204,A32),""))</x:f>
      </x:c>
      <x:c r="G32" s="30" t="str">
        <x:f>IF(A32="","",IFERROR(MAXIFS('Item Price Log'!$B$5:$B$204,'Item Price Log'!$F$5:$F$204,A32),""))</x:f>
      </x:c>
      <x:c r="H32" s="32"/>
      <x:c r="I32" s="32"/>
      <x:c r="J32" s="32"/>
      <x:c r="K32" s="36" t="str">
        <x:f>IF(OR(I32="",J32="",I32=0),"",(J32-I32)/I32)</x:f>
      </x:c>
      <x:c r="L32" s="32" t="str">
        <x:f>IF(A32="","",IFERROR(AVERAGEIF('Item Price Log'!$F$5:$F$204,A32,'Item Price Log'!$K$5:$K$204),""))</x:f>
      </x:c>
      <x:c r="M32" s="32" t="str">
        <x:f>IF(A32="","",IFERROR(MINIFS('Item Price Log'!$K$5:$K$204,'Item Price Log'!$F$5:$F$204,A32),""))</x:f>
      </x:c>
      <x:c r="N32" s="32" t="str">
        <x:f>IF(A32="","",IFERROR(MAXIFS('Item Price Log'!$K$5:$K$204,'Item Price Log'!$F$5:$F$204,A32),""))</x:f>
      </x:c>
      <x:c r="O32" s="32" t="str">
        <x:f>IF(A32="","",SUMIF('Item Price Log'!$F$5:$F$204,A32,'Item Price Log'!$L$5:$L$204))</x:f>
      </x:c>
      <x:c r="P32" s="21" t="str">
        <x:f>IF(A32="","",COUNTIF('Item Price Log'!$F$5:$F$204,A32))</x:f>
      </x:c>
      <x:c r="Q32" s="21"/>
    </x:row>
    <x:row r="33">
      <x:c r="A33" s="21"/>
      <x:c r="B33" s="21"/>
      <x:c r="C33" s="21"/>
      <x:c r="D33" s="21"/>
      <x:c r="E33" s="21"/>
      <x:c r="F33" s="30" t="str">
        <x:f>IF(A33="","",IFERROR(MINIFS('Item Price Log'!$B$5:$B$204,'Item Price Log'!$F$5:$F$204,A33),""))</x:f>
      </x:c>
      <x:c r="G33" s="30" t="str">
        <x:f>IF(A33="","",IFERROR(MAXIFS('Item Price Log'!$B$5:$B$204,'Item Price Log'!$F$5:$F$204,A33),""))</x:f>
      </x:c>
      <x:c r="H33" s="32"/>
      <x:c r="I33" s="32"/>
      <x:c r="J33" s="32"/>
      <x:c r="K33" s="36" t="str">
        <x:f>IF(OR(I33="",J33="",I33=0),"",(J33-I33)/I33)</x:f>
      </x:c>
      <x:c r="L33" s="32" t="str">
        <x:f>IF(A33="","",IFERROR(AVERAGEIF('Item Price Log'!$F$5:$F$204,A33,'Item Price Log'!$K$5:$K$204),""))</x:f>
      </x:c>
      <x:c r="M33" s="32" t="str">
        <x:f>IF(A33="","",IFERROR(MINIFS('Item Price Log'!$K$5:$K$204,'Item Price Log'!$F$5:$F$204,A33),""))</x:f>
      </x:c>
      <x:c r="N33" s="32" t="str">
        <x:f>IF(A33="","",IFERROR(MAXIFS('Item Price Log'!$K$5:$K$204,'Item Price Log'!$F$5:$F$204,A33),""))</x:f>
      </x:c>
      <x:c r="O33" s="32" t="str">
        <x:f>IF(A33="","",SUMIF('Item Price Log'!$F$5:$F$204,A33,'Item Price Log'!$L$5:$L$204))</x:f>
      </x:c>
      <x:c r="P33" s="21" t="str">
        <x:f>IF(A33="","",COUNTIF('Item Price Log'!$F$5:$F$204,A33))</x:f>
      </x:c>
      <x:c r="Q33" s="21"/>
    </x:row>
    <x:row r="34">
      <x:c r="A34" s="21"/>
      <x:c r="B34" s="21"/>
      <x:c r="C34" s="21"/>
      <x:c r="D34" s="21"/>
      <x:c r="E34" s="21"/>
      <x:c r="F34" s="30" t="str">
        <x:f>IF(A34="","",IFERROR(MINIFS('Item Price Log'!$B$5:$B$204,'Item Price Log'!$F$5:$F$204,A34),""))</x:f>
      </x:c>
      <x:c r="G34" s="30" t="str">
        <x:f>IF(A34="","",IFERROR(MAXIFS('Item Price Log'!$B$5:$B$204,'Item Price Log'!$F$5:$F$204,A34),""))</x:f>
      </x:c>
      <x:c r="H34" s="32"/>
      <x:c r="I34" s="32"/>
      <x:c r="J34" s="32"/>
      <x:c r="K34" s="36" t="str">
        <x:f>IF(OR(I34="",J34="",I34=0),"",(J34-I34)/I34)</x:f>
      </x:c>
      <x:c r="L34" s="32" t="str">
        <x:f>IF(A34="","",IFERROR(AVERAGEIF('Item Price Log'!$F$5:$F$204,A34,'Item Price Log'!$K$5:$K$204),""))</x:f>
      </x:c>
      <x:c r="M34" s="32" t="str">
        <x:f>IF(A34="","",IFERROR(MINIFS('Item Price Log'!$K$5:$K$204,'Item Price Log'!$F$5:$F$204,A34),""))</x:f>
      </x:c>
      <x:c r="N34" s="32" t="str">
        <x:f>IF(A34="","",IFERROR(MAXIFS('Item Price Log'!$K$5:$K$204,'Item Price Log'!$F$5:$F$204,A34),""))</x:f>
      </x:c>
      <x:c r="O34" s="32" t="str">
        <x:f>IF(A34="","",SUMIF('Item Price Log'!$F$5:$F$204,A34,'Item Price Log'!$L$5:$L$204))</x:f>
      </x:c>
      <x:c r="P34" s="21" t="str">
        <x:f>IF(A34="","",COUNTIF('Item Price Log'!$F$5:$F$204,A34))</x:f>
      </x:c>
      <x:c r="Q34" s="21"/>
    </x:row>
    <x:row r="35">
      <x:c r="A35" s="21"/>
      <x:c r="B35" s="21"/>
      <x:c r="C35" s="21"/>
      <x:c r="D35" s="21"/>
      <x:c r="E35" s="21"/>
      <x:c r="F35" s="30" t="str">
        <x:f>IF(A35="","",IFERROR(MINIFS('Item Price Log'!$B$5:$B$204,'Item Price Log'!$F$5:$F$204,A35),""))</x:f>
      </x:c>
      <x:c r="G35" s="30" t="str">
        <x:f>IF(A35="","",IFERROR(MAXIFS('Item Price Log'!$B$5:$B$204,'Item Price Log'!$F$5:$F$204,A35),""))</x:f>
      </x:c>
      <x:c r="H35" s="32"/>
      <x:c r="I35" s="32"/>
      <x:c r="J35" s="32"/>
      <x:c r="K35" s="36" t="str">
        <x:f>IF(OR(I35="",J35="",I35=0),"",(J35-I35)/I35)</x:f>
      </x:c>
      <x:c r="L35" s="32" t="str">
        <x:f>IF(A35="","",IFERROR(AVERAGEIF('Item Price Log'!$F$5:$F$204,A35,'Item Price Log'!$K$5:$K$204),""))</x:f>
      </x:c>
      <x:c r="M35" s="32" t="str">
        <x:f>IF(A35="","",IFERROR(MINIFS('Item Price Log'!$K$5:$K$204,'Item Price Log'!$F$5:$F$204,A35),""))</x:f>
      </x:c>
      <x:c r="N35" s="32" t="str">
        <x:f>IF(A35="","",IFERROR(MAXIFS('Item Price Log'!$K$5:$K$204,'Item Price Log'!$F$5:$F$204,A35),""))</x:f>
      </x:c>
      <x:c r="O35" s="32" t="str">
        <x:f>IF(A35="","",SUMIF('Item Price Log'!$F$5:$F$204,A35,'Item Price Log'!$L$5:$L$204))</x:f>
      </x:c>
      <x:c r="P35" s="21" t="str">
        <x:f>IF(A35="","",COUNTIF('Item Price Log'!$F$5:$F$204,A35))</x:f>
      </x:c>
      <x:c r="Q35" s="21"/>
    </x:row>
    <x:row r="36">
      <x:c r="A36" s="21"/>
      <x:c r="B36" s="21"/>
      <x:c r="C36" s="21"/>
      <x:c r="D36" s="21"/>
      <x:c r="E36" s="21"/>
      <x:c r="F36" s="30" t="str">
        <x:f>IF(A36="","",IFERROR(MINIFS('Item Price Log'!$B$5:$B$204,'Item Price Log'!$F$5:$F$204,A36),""))</x:f>
      </x:c>
      <x:c r="G36" s="30" t="str">
        <x:f>IF(A36="","",IFERROR(MAXIFS('Item Price Log'!$B$5:$B$204,'Item Price Log'!$F$5:$F$204,A36),""))</x:f>
      </x:c>
      <x:c r="H36" s="32"/>
      <x:c r="I36" s="32"/>
      <x:c r="J36" s="32"/>
      <x:c r="K36" s="36" t="str">
        <x:f>IF(OR(I36="",J36="",I36=0),"",(J36-I36)/I36)</x:f>
      </x:c>
      <x:c r="L36" s="32" t="str">
        <x:f>IF(A36="","",IFERROR(AVERAGEIF('Item Price Log'!$F$5:$F$204,A36,'Item Price Log'!$K$5:$K$204),""))</x:f>
      </x:c>
      <x:c r="M36" s="32" t="str">
        <x:f>IF(A36="","",IFERROR(MINIFS('Item Price Log'!$K$5:$K$204,'Item Price Log'!$F$5:$F$204,A36),""))</x:f>
      </x:c>
      <x:c r="N36" s="32" t="str">
        <x:f>IF(A36="","",IFERROR(MAXIFS('Item Price Log'!$K$5:$K$204,'Item Price Log'!$F$5:$F$204,A36),""))</x:f>
      </x:c>
      <x:c r="O36" s="32" t="str">
        <x:f>IF(A36="","",SUMIF('Item Price Log'!$F$5:$F$204,A36,'Item Price Log'!$L$5:$L$204))</x:f>
      </x:c>
      <x:c r="P36" s="21" t="str">
        <x:f>IF(A36="","",COUNTIF('Item Price Log'!$F$5:$F$204,A36))</x:f>
      </x:c>
      <x:c r="Q36" s="21"/>
    </x:row>
    <x:row r="37">
      <x:c r="A37" s="21"/>
      <x:c r="B37" s="21"/>
      <x:c r="C37" s="21"/>
      <x:c r="D37" s="21"/>
      <x:c r="E37" s="21"/>
      <x:c r="F37" s="30" t="str">
        <x:f>IF(A37="","",IFERROR(MINIFS('Item Price Log'!$B$5:$B$204,'Item Price Log'!$F$5:$F$204,A37),""))</x:f>
      </x:c>
      <x:c r="G37" s="30" t="str">
        <x:f>IF(A37="","",IFERROR(MAXIFS('Item Price Log'!$B$5:$B$204,'Item Price Log'!$F$5:$F$204,A37),""))</x:f>
      </x:c>
      <x:c r="H37" s="32"/>
      <x:c r="I37" s="32"/>
      <x:c r="J37" s="32"/>
      <x:c r="K37" s="36" t="str">
        <x:f>IF(OR(I37="",J37="",I37=0),"",(J37-I37)/I37)</x:f>
      </x:c>
      <x:c r="L37" s="32" t="str">
        <x:f>IF(A37="","",IFERROR(AVERAGEIF('Item Price Log'!$F$5:$F$204,A37,'Item Price Log'!$K$5:$K$204),""))</x:f>
      </x:c>
      <x:c r="M37" s="32" t="str">
        <x:f>IF(A37="","",IFERROR(MINIFS('Item Price Log'!$K$5:$K$204,'Item Price Log'!$F$5:$F$204,A37),""))</x:f>
      </x:c>
      <x:c r="N37" s="32" t="str">
        <x:f>IF(A37="","",IFERROR(MAXIFS('Item Price Log'!$K$5:$K$204,'Item Price Log'!$F$5:$F$204,A37),""))</x:f>
      </x:c>
      <x:c r="O37" s="32" t="str">
        <x:f>IF(A37="","",SUMIF('Item Price Log'!$F$5:$F$204,A37,'Item Price Log'!$L$5:$L$204))</x:f>
      </x:c>
      <x:c r="P37" s="21" t="str">
        <x:f>IF(A37="","",COUNTIF('Item Price Log'!$F$5:$F$204,A37))</x:f>
      </x:c>
      <x:c r="Q37" s="21"/>
    </x:row>
    <x:row r="38">
      <x:c r="A38" s="21"/>
      <x:c r="B38" s="21"/>
      <x:c r="C38" s="21"/>
      <x:c r="D38" s="21"/>
      <x:c r="E38" s="21"/>
      <x:c r="F38" s="30" t="str">
        <x:f>IF(A38="","",IFERROR(MINIFS('Item Price Log'!$B$5:$B$204,'Item Price Log'!$F$5:$F$204,A38),""))</x:f>
      </x:c>
      <x:c r="G38" s="30" t="str">
        <x:f>IF(A38="","",IFERROR(MAXIFS('Item Price Log'!$B$5:$B$204,'Item Price Log'!$F$5:$F$204,A38),""))</x:f>
      </x:c>
      <x:c r="H38" s="32"/>
      <x:c r="I38" s="32"/>
      <x:c r="J38" s="32"/>
      <x:c r="K38" s="36" t="str">
        <x:f>IF(OR(I38="",J38="",I38=0),"",(J38-I38)/I38)</x:f>
      </x:c>
      <x:c r="L38" s="32" t="str">
        <x:f>IF(A38="","",IFERROR(AVERAGEIF('Item Price Log'!$F$5:$F$204,A38,'Item Price Log'!$K$5:$K$204),""))</x:f>
      </x:c>
      <x:c r="M38" s="32" t="str">
        <x:f>IF(A38="","",IFERROR(MINIFS('Item Price Log'!$K$5:$K$204,'Item Price Log'!$F$5:$F$204,A38),""))</x:f>
      </x:c>
      <x:c r="N38" s="32" t="str">
        <x:f>IF(A38="","",IFERROR(MAXIFS('Item Price Log'!$K$5:$K$204,'Item Price Log'!$F$5:$F$204,A38),""))</x:f>
      </x:c>
      <x:c r="O38" s="32" t="str">
        <x:f>IF(A38="","",SUMIF('Item Price Log'!$F$5:$F$204,A38,'Item Price Log'!$L$5:$L$204))</x:f>
      </x:c>
      <x:c r="P38" s="21" t="str">
        <x:f>IF(A38="","",COUNTIF('Item Price Log'!$F$5:$F$204,A38))</x:f>
      </x:c>
      <x:c r="Q38" s="21"/>
    </x:row>
    <x:row r="39">
      <x:c r="A39" s="21"/>
      <x:c r="B39" s="21"/>
      <x:c r="C39" s="21"/>
      <x:c r="D39" s="21"/>
      <x:c r="E39" s="21"/>
      <x:c r="F39" s="30" t="str">
        <x:f>IF(A39="","",IFERROR(MINIFS('Item Price Log'!$B$5:$B$204,'Item Price Log'!$F$5:$F$204,A39),""))</x:f>
      </x:c>
      <x:c r="G39" s="30" t="str">
        <x:f>IF(A39="","",IFERROR(MAXIFS('Item Price Log'!$B$5:$B$204,'Item Price Log'!$F$5:$F$204,A39),""))</x:f>
      </x:c>
      <x:c r="H39" s="32"/>
      <x:c r="I39" s="32"/>
      <x:c r="J39" s="32"/>
      <x:c r="K39" s="36" t="str">
        <x:f>IF(OR(I39="",J39="",I39=0),"",(J39-I39)/I39)</x:f>
      </x:c>
      <x:c r="L39" s="32" t="str">
        <x:f>IF(A39="","",IFERROR(AVERAGEIF('Item Price Log'!$F$5:$F$204,A39,'Item Price Log'!$K$5:$K$204),""))</x:f>
      </x:c>
      <x:c r="M39" s="32" t="str">
        <x:f>IF(A39="","",IFERROR(MINIFS('Item Price Log'!$K$5:$K$204,'Item Price Log'!$F$5:$F$204,A39),""))</x:f>
      </x:c>
      <x:c r="N39" s="32" t="str">
        <x:f>IF(A39="","",IFERROR(MAXIFS('Item Price Log'!$K$5:$K$204,'Item Price Log'!$F$5:$F$204,A39),""))</x:f>
      </x:c>
      <x:c r="O39" s="32" t="str">
        <x:f>IF(A39="","",SUMIF('Item Price Log'!$F$5:$F$204,A39,'Item Price Log'!$L$5:$L$204))</x:f>
      </x:c>
      <x:c r="P39" s="21" t="str">
        <x:f>IF(A39="","",COUNTIF('Item Price Log'!$F$5:$F$204,A39))</x:f>
      </x:c>
      <x:c r="Q39" s="21"/>
    </x:row>
    <x:row r="40">
      <x:c r="A40" s="21"/>
      <x:c r="B40" s="21"/>
      <x:c r="C40" s="21"/>
      <x:c r="D40" s="21"/>
      <x:c r="E40" s="21"/>
      <x:c r="F40" s="30" t="str">
        <x:f>IF(A40="","",IFERROR(MINIFS('Item Price Log'!$B$5:$B$204,'Item Price Log'!$F$5:$F$204,A40),""))</x:f>
      </x:c>
      <x:c r="G40" s="30" t="str">
        <x:f>IF(A40="","",IFERROR(MAXIFS('Item Price Log'!$B$5:$B$204,'Item Price Log'!$F$5:$F$204,A40),""))</x:f>
      </x:c>
      <x:c r="H40" s="32"/>
      <x:c r="I40" s="32"/>
      <x:c r="J40" s="32"/>
      <x:c r="K40" s="36" t="str">
        <x:f>IF(OR(I40="",J40="",I40=0),"",(J40-I40)/I40)</x:f>
      </x:c>
      <x:c r="L40" s="32" t="str">
        <x:f>IF(A40="","",IFERROR(AVERAGEIF('Item Price Log'!$F$5:$F$204,A40,'Item Price Log'!$K$5:$K$204),""))</x:f>
      </x:c>
      <x:c r="M40" s="32" t="str">
        <x:f>IF(A40="","",IFERROR(MINIFS('Item Price Log'!$K$5:$K$204,'Item Price Log'!$F$5:$F$204,A40),""))</x:f>
      </x:c>
      <x:c r="N40" s="32" t="str">
        <x:f>IF(A40="","",IFERROR(MAXIFS('Item Price Log'!$K$5:$K$204,'Item Price Log'!$F$5:$F$204,A40),""))</x:f>
      </x:c>
      <x:c r="O40" s="32" t="str">
        <x:f>IF(A40="","",SUMIF('Item Price Log'!$F$5:$F$204,A40,'Item Price Log'!$L$5:$L$204))</x:f>
      </x:c>
      <x:c r="P40" s="21" t="str">
        <x:f>IF(A40="","",COUNTIF('Item Price Log'!$F$5:$F$204,A40))</x:f>
      </x:c>
      <x:c r="Q40" s="21"/>
    </x:row>
    <x:row r="41">
      <x:c r="A41" s="21"/>
      <x:c r="B41" s="21"/>
      <x:c r="C41" s="21"/>
      <x:c r="D41" s="21"/>
      <x:c r="E41" s="21"/>
      <x:c r="F41" s="30" t="str">
        <x:f>IF(A41="","",IFERROR(MINIFS('Item Price Log'!$B$5:$B$204,'Item Price Log'!$F$5:$F$204,A41),""))</x:f>
      </x:c>
      <x:c r="G41" s="30" t="str">
        <x:f>IF(A41="","",IFERROR(MAXIFS('Item Price Log'!$B$5:$B$204,'Item Price Log'!$F$5:$F$204,A41),""))</x:f>
      </x:c>
      <x:c r="H41" s="32"/>
      <x:c r="I41" s="32"/>
      <x:c r="J41" s="32"/>
      <x:c r="K41" s="36" t="str">
        <x:f>IF(OR(I41="",J41="",I41=0),"",(J41-I41)/I41)</x:f>
      </x:c>
      <x:c r="L41" s="32" t="str">
        <x:f>IF(A41="","",IFERROR(AVERAGEIF('Item Price Log'!$F$5:$F$204,A41,'Item Price Log'!$K$5:$K$204),""))</x:f>
      </x:c>
      <x:c r="M41" s="32" t="str">
        <x:f>IF(A41="","",IFERROR(MINIFS('Item Price Log'!$K$5:$K$204,'Item Price Log'!$F$5:$F$204,A41),""))</x:f>
      </x:c>
      <x:c r="N41" s="32" t="str">
        <x:f>IF(A41="","",IFERROR(MAXIFS('Item Price Log'!$K$5:$K$204,'Item Price Log'!$F$5:$F$204,A41),""))</x:f>
      </x:c>
      <x:c r="O41" s="32" t="str">
        <x:f>IF(A41="","",SUMIF('Item Price Log'!$F$5:$F$204,A41,'Item Price Log'!$L$5:$L$204))</x:f>
      </x:c>
      <x:c r="P41" s="21" t="str">
        <x:f>IF(A41="","",COUNTIF('Item Price Log'!$F$5:$F$204,A41))</x:f>
      </x:c>
      <x:c r="Q41" s="21"/>
    </x:row>
    <x:row r="42">
      <x:c r="A42" s="21"/>
      <x:c r="B42" s="21"/>
      <x:c r="C42" s="21"/>
      <x:c r="D42" s="21"/>
      <x:c r="E42" s="21"/>
      <x:c r="F42" s="30" t="str">
        <x:f>IF(A42="","",IFERROR(MINIFS('Item Price Log'!$B$5:$B$204,'Item Price Log'!$F$5:$F$204,A42),""))</x:f>
      </x:c>
      <x:c r="G42" s="30" t="str">
        <x:f>IF(A42="","",IFERROR(MAXIFS('Item Price Log'!$B$5:$B$204,'Item Price Log'!$F$5:$F$204,A42),""))</x:f>
      </x:c>
      <x:c r="H42" s="32"/>
      <x:c r="I42" s="32"/>
      <x:c r="J42" s="32"/>
      <x:c r="K42" s="36" t="str">
        <x:f>IF(OR(I42="",J42="",I42=0),"",(J42-I42)/I42)</x:f>
      </x:c>
      <x:c r="L42" s="32" t="str">
        <x:f>IF(A42="","",IFERROR(AVERAGEIF('Item Price Log'!$F$5:$F$204,A42,'Item Price Log'!$K$5:$K$204),""))</x:f>
      </x:c>
      <x:c r="M42" s="32" t="str">
        <x:f>IF(A42="","",IFERROR(MINIFS('Item Price Log'!$K$5:$K$204,'Item Price Log'!$F$5:$F$204,A42),""))</x:f>
      </x:c>
      <x:c r="N42" s="32" t="str">
        <x:f>IF(A42="","",IFERROR(MAXIFS('Item Price Log'!$K$5:$K$204,'Item Price Log'!$F$5:$F$204,A42),""))</x:f>
      </x:c>
      <x:c r="O42" s="32" t="str">
        <x:f>IF(A42="","",SUMIF('Item Price Log'!$F$5:$F$204,A42,'Item Price Log'!$L$5:$L$204))</x:f>
      </x:c>
      <x:c r="P42" s="21" t="str">
        <x:f>IF(A42="","",COUNTIF('Item Price Log'!$F$5:$F$204,A42))</x:f>
      </x:c>
      <x:c r="Q42" s="21"/>
    </x:row>
    <x:row r="43">
      <x:c r="A43" s="21"/>
      <x:c r="B43" s="21"/>
      <x:c r="C43" s="21"/>
      <x:c r="D43" s="21"/>
      <x:c r="E43" s="21"/>
      <x:c r="F43" s="30" t="str">
        <x:f>IF(A43="","",IFERROR(MINIFS('Item Price Log'!$B$5:$B$204,'Item Price Log'!$F$5:$F$204,A43),""))</x:f>
      </x:c>
      <x:c r="G43" s="30" t="str">
        <x:f>IF(A43="","",IFERROR(MAXIFS('Item Price Log'!$B$5:$B$204,'Item Price Log'!$F$5:$F$204,A43),""))</x:f>
      </x:c>
      <x:c r="H43" s="32"/>
      <x:c r="I43" s="32"/>
      <x:c r="J43" s="32"/>
      <x:c r="K43" s="36" t="str">
        <x:f>IF(OR(I43="",J43="",I43=0),"",(J43-I43)/I43)</x:f>
      </x:c>
      <x:c r="L43" s="32" t="str">
        <x:f>IF(A43="","",IFERROR(AVERAGEIF('Item Price Log'!$F$5:$F$204,A43,'Item Price Log'!$K$5:$K$204),""))</x:f>
      </x:c>
      <x:c r="M43" s="32" t="str">
        <x:f>IF(A43="","",IFERROR(MINIFS('Item Price Log'!$K$5:$K$204,'Item Price Log'!$F$5:$F$204,A43),""))</x:f>
      </x:c>
      <x:c r="N43" s="32" t="str">
        <x:f>IF(A43="","",IFERROR(MAXIFS('Item Price Log'!$K$5:$K$204,'Item Price Log'!$F$5:$F$204,A43),""))</x:f>
      </x:c>
      <x:c r="O43" s="32" t="str">
        <x:f>IF(A43="","",SUMIF('Item Price Log'!$F$5:$F$204,A43,'Item Price Log'!$L$5:$L$204))</x:f>
      </x:c>
      <x:c r="P43" s="21" t="str">
        <x:f>IF(A43="","",COUNTIF('Item Price Log'!$F$5:$F$204,A43))</x:f>
      </x:c>
      <x:c r="Q43" s="21"/>
    </x:row>
    <x:row r="44">
      <x:c r="A44" s="21"/>
      <x:c r="B44" s="21"/>
      <x:c r="C44" s="21"/>
      <x:c r="D44" s="21"/>
      <x:c r="E44" s="21"/>
      <x:c r="F44" s="30" t="str">
        <x:f>IF(A44="","",IFERROR(MINIFS('Item Price Log'!$B$5:$B$204,'Item Price Log'!$F$5:$F$204,A44),""))</x:f>
      </x:c>
      <x:c r="G44" s="30" t="str">
        <x:f>IF(A44="","",IFERROR(MAXIFS('Item Price Log'!$B$5:$B$204,'Item Price Log'!$F$5:$F$204,A44),""))</x:f>
      </x:c>
      <x:c r="H44" s="32"/>
      <x:c r="I44" s="32"/>
      <x:c r="J44" s="32"/>
      <x:c r="K44" s="36" t="str">
        <x:f>IF(OR(I44="",J44="",I44=0),"",(J44-I44)/I44)</x:f>
      </x:c>
      <x:c r="L44" s="32" t="str">
        <x:f>IF(A44="","",IFERROR(AVERAGEIF('Item Price Log'!$F$5:$F$204,A44,'Item Price Log'!$K$5:$K$204),""))</x:f>
      </x:c>
      <x:c r="M44" s="32" t="str">
        <x:f>IF(A44="","",IFERROR(MINIFS('Item Price Log'!$K$5:$K$204,'Item Price Log'!$F$5:$F$204,A44),""))</x:f>
      </x:c>
      <x:c r="N44" s="32" t="str">
        <x:f>IF(A44="","",IFERROR(MAXIFS('Item Price Log'!$K$5:$K$204,'Item Price Log'!$F$5:$F$204,A44),""))</x:f>
      </x:c>
      <x:c r="O44" s="32" t="str">
        <x:f>IF(A44="","",SUMIF('Item Price Log'!$F$5:$F$204,A44,'Item Price Log'!$L$5:$L$204))</x:f>
      </x:c>
      <x:c r="P44" s="21" t="str">
        <x:f>IF(A44="","",COUNTIF('Item Price Log'!$F$5:$F$204,A44))</x:f>
      </x:c>
      <x:c r="Q44" s="21"/>
    </x:row>
    <x:row r="45">
      <x:c r="A45" s="21"/>
      <x:c r="B45" s="21"/>
      <x:c r="C45" s="21"/>
      <x:c r="D45" s="21"/>
      <x:c r="E45" s="21"/>
      <x:c r="F45" s="30" t="str">
        <x:f>IF(A45="","",IFERROR(MINIFS('Item Price Log'!$B$5:$B$204,'Item Price Log'!$F$5:$F$204,A45),""))</x:f>
      </x:c>
      <x:c r="G45" s="30" t="str">
        <x:f>IF(A45="","",IFERROR(MAXIFS('Item Price Log'!$B$5:$B$204,'Item Price Log'!$F$5:$F$204,A45),""))</x:f>
      </x:c>
      <x:c r="H45" s="32"/>
      <x:c r="I45" s="32"/>
      <x:c r="J45" s="32"/>
      <x:c r="K45" s="36" t="str">
        <x:f>IF(OR(I45="",J45="",I45=0),"",(J45-I45)/I45)</x:f>
      </x:c>
      <x:c r="L45" s="32" t="str">
        <x:f>IF(A45="","",IFERROR(AVERAGEIF('Item Price Log'!$F$5:$F$204,A45,'Item Price Log'!$K$5:$K$204),""))</x:f>
      </x:c>
      <x:c r="M45" s="32" t="str">
        <x:f>IF(A45="","",IFERROR(MINIFS('Item Price Log'!$K$5:$K$204,'Item Price Log'!$F$5:$F$204,A45),""))</x:f>
      </x:c>
      <x:c r="N45" s="32" t="str">
        <x:f>IF(A45="","",IFERROR(MAXIFS('Item Price Log'!$K$5:$K$204,'Item Price Log'!$F$5:$F$204,A45),""))</x:f>
      </x:c>
      <x:c r="O45" s="32" t="str">
        <x:f>IF(A45="","",SUMIF('Item Price Log'!$F$5:$F$204,A45,'Item Price Log'!$L$5:$L$204))</x:f>
      </x:c>
      <x:c r="P45" s="21" t="str">
        <x:f>IF(A45="","",COUNTIF('Item Price Log'!$F$5:$F$204,A45))</x:f>
      </x:c>
      <x:c r="Q45" s="21"/>
    </x:row>
    <x:row r="46">
      <x:c r="A46" s="21"/>
      <x:c r="B46" s="21"/>
      <x:c r="C46" s="21"/>
      <x:c r="D46" s="21"/>
      <x:c r="E46" s="21"/>
      <x:c r="F46" s="30" t="str">
        <x:f>IF(A46="","",IFERROR(MINIFS('Item Price Log'!$B$5:$B$204,'Item Price Log'!$F$5:$F$204,A46),""))</x:f>
      </x:c>
      <x:c r="G46" s="30" t="str">
        <x:f>IF(A46="","",IFERROR(MAXIFS('Item Price Log'!$B$5:$B$204,'Item Price Log'!$F$5:$F$204,A46),""))</x:f>
      </x:c>
      <x:c r="H46" s="32"/>
      <x:c r="I46" s="32"/>
      <x:c r="J46" s="32"/>
      <x:c r="K46" s="36" t="str">
        <x:f>IF(OR(I46="",J46="",I46=0),"",(J46-I46)/I46)</x:f>
      </x:c>
      <x:c r="L46" s="32" t="str">
        <x:f>IF(A46="","",IFERROR(AVERAGEIF('Item Price Log'!$F$5:$F$204,A46,'Item Price Log'!$K$5:$K$204),""))</x:f>
      </x:c>
      <x:c r="M46" s="32" t="str">
        <x:f>IF(A46="","",IFERROR(MINIFS('Item Price Log'!$K$5:$K$204,'Item Price Log'!$F$5:$F$204,A46),""))</x:f>
      </x:c>
      <x:c r="N46" s="32" t="str">
        <x:f>IF(A46="","",IFERROR(MAXIFS('Item Price Log'!$K$5:$K$204,'Item Price Log'!$F$5:$F$204,A46),""))</x:f>
      </x:c>
      <x:c r="O46" s="32" t="str">
        <x:f>IF(A46="","",SUMIF('Item Price Log'!$F$5:$F$204,A46,'Item Price Log'!$L$5:$L$204))</x:f>
      </x:c>
      <x:c r="P46" s="21" t="str">
        <x:f>IF(A46="","",COUNTIF('Item Price Log'!$F$5:$F$204,A46))</x:f>
      </x:c>
      <x:c r="Q46" s="21"/>
    </x:row>
    <x:row r="47">
      <x:c r="A47" s="21"/>
      <x:c r="B47" s="21"/>
      <x:c r="C47" s="21"/>
      <x:c r="D47" s="21"/>
      <x:c r="E47" s="21"/>
      <x:c r="F47" s="30" t="str">
        <x:f>IF(A47="","",IFERROR(MINIFS('Item Price Log'!$B$5:$B$204,'Item Price Log'!$F$5:$F$204,A47),""))</x:f>
      </x:c>
      <x:c r="G47" s="30" t="str">
        <x:f>IF(A47="","",IFERROR(MAXIFS('Item Price Log'!$B$5:$B$204,'Item Price Log'!$F$5:$F$204,A47),""))</x:f>
      </x:c>
      <x:c r="H47" s="32"/>
      <x:c r="I47" s="32"/>
      <x:c r="J47" s="32"/>
      <x:c r="K47" s="36" t="str">
        <x:f>IF(OR(I47="",J47="",I47=0),"",(J47-I47)/I47)</x:f>
      </x:c>
      <x:c r="L47" s="32" t="str">
        <x:f>IF(A47="","",IFERROR(AVERAGEIF('Item Price Log'!$F$5:$F$204,A47,'Item Price Log'!$K$5:$K$204),""))</x:f>
      </x:c>
      <x:c r="M47" s="32" t="str">
        <x:f>IF(A47="","",IFERROR(MINIFS('Item Price Log'!$K$5:$K$204,'Item Price Log'!$F$5:$F$204,A47),""))</x:f>
      </x:c>
      <x:c r="N47" s="32" t="str">
        <x:f>IF(A47="","",IFERROR(MAXIFS('Item Price Log'!$K$5:$K$204,'Item Price Log'!$F$5:$F$204,A47),""))</x:f>
      </x:c>
      <x:c r="O47" s="32" t="str">
        <x:f>IF(A47="","",SUMIF('Item Price Log'!$F$5:$F$204,A47,'Item Price Log'!$L$5:$L$204))</x:f>
      </x:c>
      <x:c r="P47" s="21" t="str">
        <x:f>IF(A47="","",COUNTIF('Item Price Log'!$F$5:$F$204,A47))</x:f>
      </x:c>
      <x:c r="Q47" s="21"/>
    </x:row>
    <x:row r="48">
      <x:c r="A48" s="21"/>
      <x:c r="B48" s="21"/>
      <x:c r="C48" s="21"/>
      <x:c r="D48" s="21"/>
      <x:c r="E48" s="21"/>
      <x:c r="F48" s="30" t="str">
        <x:f>IF(A48="","",IFERROR(MINIFS('Item Price Log'!$B$5:$B$204,'Item Price Log'!$F$5:$F$204,A48),""))</x:f>
      </x:c>
      <x:c r="G48" s="30" t="str">
        <x:f>IF(A48="","",IFERROR(MAXIFS('Item Price Log'!$B$5:$B$204,'Item Price Log'!$F$5:$F$204,A48),""))</x:f>
      </x:c>
      <x:c r="H48" s="32"/>
      <x:c r="I48" s="32"/>
      <x:c r="J48" s="32"/>
      <x:c r="K48" s="36" t="str">
        <x:f>IF(OR(I48="",J48="",I48=0),"",(J48-I48)/I48)</x:f>
      </x:c>
      <x:c r="L48" s="32" t="str">
        <x:f>IF(A48="","",IFERROR(AVERAGEIF('Item Price Log'!$F$5:$F$204,A48,'Item Price Log'!$K$5:$K$204),""))</x:f>
      </x:c>
      <x:c r="M48" s="32" t="str">
        <x:f>IF(A48="","",IFERROR(MINIFS('Item Price Log'!$K$5:$K$204,'Item Price Log'!$F$5:$F$204,A48),""))</x:f>
      </x:c>
      <x:c r="N48" s="32" t="str">
        <x:f>IF(A48="","",IFERROR(MAXIFS('Item Price Log'!$K$5:$K$204,'Item Price Log'!$F$5:$F$204,A48),""))</x:f>
      </x:c>
      <x:c r="O48" s="32" t="str">
        <x:f>IF(A48="","",SUMIF('Item Price Log'!$F$5:$F$204,A48,'Item Price Log'!$L$5:$L$204))</x:f>
      </x:c>
      <x:c r="P48" s="21" t="str">
        <x:f>IF(A48="","",COUNTIF('Item Price Log'!$F$5:$F$204,A48))</x:f>
      </x:c>
      <x:c r="Q48" s="21"/>
    </x:row>
    <x:row r="49">
      <x:c r="A49" s="21"/>
      <x:c r="B49" s="21"/>
      <x:c r="C49" s="21"/>
      <x:c r="D49" s="21"/>
      <x:c r="E49" s="21"/>
      <x:c r="F49" s="30" t="str">
        <x:f>IF(A49="","",IFERROR(MINIFS('Item Price Log'!$B$5:$B$204,'Item Price Log'!$F$5:$F$204,A49),""))</x:f>
      </x:c>
      <x:c r="G49" s="30" t="str">
        <x:f>IF(A49="","",IFERROR(MAXIFS('Item Price Log'!$B$5:$B$204,'Item Price Log'!$F$5:$F$204,A49),""))</x:f>
      </x:c>
      <x:c r="H49" s="32"/>
      <x:c r="I49" s="32"/>
      <x:c r="J49" s="32"/>
      <x:c r="K49" s="36" t="str">
        <x:f>IF(OR(I49="",J49="",I49=0),"",(J49-I49)/I49)</x:f>
      </x:c>
      <x:c r="L49" s="32" t="str">
        <x:f>IF(A49="","",IFERROR(AVERAGEIF('Item Price Log'!$F$5:$F$204,A49,'Item Price Log'!$K$5:$K$204),""))</x:f>
      </x:c>
      <x:c r="M49" s="32" t="str">
        <x:f>IF(A49="","",IFERROR(MINIFS('Item Price Log'!$K$5:$K$204,'Item Price Log'!$F$5:$F$204,A49),""))</x:f>
      </x:c>
      <x:c r="N49" s="32" t="str">
        <x:f>IF(A49="","",IFERROR(MAXIFS('Item Price Log'!$K$5:$K$204,'Item Price Log'!$F$5:$F$204,A49),""))</x:f>
      </x:c>
      <x:c r="O49" s="32" t="str">
        <x:f>IF(A49="","",SUMIF('Item Price Log'!$F$5:$F$204,A49,'Item Price Log'!$L$5:$L$204))</x:f>
      </x:c>
      <x:c r="P49" s="21" t="str">
        <x:f>IF(A49="","",COUNTIF('Item Price Log'!$F$5:$F$204,A49))</x:f>
      </x:c>
      <x:c r="Q49" s="21"/>
    </x:row>
    <x:row r="50">
      <x:c r="A50" s="21"/>
      <x:c r="B50" s="21"/>
      <x:c r="C50" s="21"/>
      <x:c r="D50" s="21"/>
      <x:c r="E50" s="21"/>
      <x:c r="F50" s="30" t="str">
        <x:f>IF(A50="","",IFERROR(MINIFS('Item Price Log'!$B$5:$B$204,'Item Price Log'!$F$5:$F$204,A50),""))</x:f>
      </x:c>
      <x:c r="G50" s="30" t="str">
        <x:f>IF(A50="","",IFERROR(MAXIFS('Item Price Log'!$B$5:$B$204,'Item Price Log'!$F$5:$F$204,A50),""))</x:f>
      </x:c>
      <x:c r="H50" s="32"/>
      <x:c r="I50" s="32"/>
      <x:c r="J50" s="32"/>
      <x:c r="K50" s="36" t="str">
        <x:f>IF(OR(I50="",J50="",I50=0),"",(J50-I50)/I50)</x:f>
      </x:c>
      <x:c r="L50" s="32" t="str">
        <x:f>IF(A50="","",IFERROR(AVERAGEIF('Item Price Log'!$F$5:$F$204,A50,'Item Price Log'!$K$5:$K$204),""))</x:f>
      </x:c>
      <x:c r="M50" s="32" t="str">
        <x:f>IF(A50="","",IFERROR(MINIFS('Item Price Log'!$K$5:$K$204,'Item Price Log'!$F$5:$F$204,A50),""))</x:f>
      </x:c>
      <x:c r="N50" s="32" t="str">
        <x:f>IF(A50="","",IFERROR(MAXIFS('Item Price Log'!$K$5:$K$204,'Item Price Log'!$F$5:$F$204,A50),""))</x:f>
      </x:c>
      <x:c r="O50" s="32" t="str">
        <x:f>IF(A50="","",SUMIF('Item Price Log'!$F$5:$F$204,A50,'Item Price Log'!$L$5:$L$204))</x:f>
      </x:c>
      <x:c r="P50" s="21" t="str">
        <x:f>IF(A50="","",COUNTIF('Item Price Log'!$F$5:$F$204,A50))</x:f>
      </x:c>
      <x:c r="Q50" s="21"/>
    </x:row>
    <x:row r="51">
      <x:c r="A51" s="21"/>
      <x:c r="B51" s="21"/>
      <x:c r="C51" s="21"/>
      <x:c r="D51" s="21"/>
      <x:c r="E51" s="21"/>
      <x:c r="F51" s="30" t="str">
        <x:f>IF(A51="","",IFERROR(MINIFS('Item Price Log'!$B$5:$B$204,'Item Price Log'!$F$5:$F$204,A51),""))</x:f>
      </x:c>
      <x:c r="G51" s="30" t="str">
        <x:f>IF(A51="","",IFERROR(MAXIFS('Item Price Log'!$B$5:$B$204,'Item Price Log'!$F$5:$F$204,A51),""))</x:f>
      </x:c>
      <x:c r="H51" s="32"/>
      <x:c r="I51" s="32"/>
      <x:c r="J51" s="32"/>
      <x:c r="K51" s="36" t="str">
        <x:f>IF(OR(I51="",J51="",I51=0),"",(J51-I51)/I51)</x:f>
      </x:c>
      <x:c r="L51" s="32" t="str">
        <x:f>IF(A51="","",IFERROR(AVERAGEIF('Item Price Log'!$F$5:$F$204,A51,'Item Price Log'!$K$5:$K$204),""))</x:f>
      </x:c>
      <x:c r="M51" s="32" t="str">
        <x:f>IF(A51="","",IFERROR(MINIFS('Item Price Log'!$K$5:$K$204,'Item Price Log'!$F$5:$F$204,A51),""))</x:f>
      </x:c>
      <x:c r="N51" s="32" t="str">
        <x:f>IF(A51="","",IFERROR(MAXIFS('Item Price Log'!$K$5:$K$204,'Item Price Log'!$F$5:$F$204,A51),""))</x:f>
      </x:c>
      <x:c r="O51" s="32" t="str">
        <x:f>IF(A51="","",SUMIF('Item Price Log'!$F$5:$F$204,A51,'Item Price Log'!$L$5:$L$204))</x:f>
      </x:c>
      <x:c r="P51" s="21" t="str">
        <x:f>IF(A51="","",COUNTIF('Item Price Log'!$F$5:$F$204,A51))</x:f>
      </x:c>
      <x:c r="Q51" s="21"/>
    </x:row>
    <x:row r="52">
      <x:c r="A52" s="21"/>
      <x:c r="B52" s="21"/>
      <x:c r="C52" s="21"/>
      <x:c r="D52" s="21"/>
      <x:c r="E52" s="21"/>
      <x:c r="F52" s="30" t="str">
        <x:f>IF(A52="","",IFERROR(MINIFS('Item Price Log'!$B$5:$B$204,'Item Price Log'!$F$5:$F$204,A52),""))</x:f>
      </x:c>
      <x:c r="G52" s="30" t="str">
        <x:f>IF(A52="","",IFERROR(MAXIFS('Item Price Log'!$B$5:$B$204,'Item Price Log'!$F$5:$F$204,A52),""))</x:f>
      </x:c>
      <x:c r="H52" s="32"/>
      <x:c r="I52" s="32"/>
      <x:c r="J52" s="32"/>
      <x:c r="K52" s="36" t="str">
        <x:f>IF(OR(I52="",J52="",I52=0),"",(J52-I52)/I52)</x:f>
      </x:c>
      <x:c r="L52" s="32" t="str">
        <x:f>IF(A52="","",IFERROR(AVERAGEIF('Item Price Log'!$F$5:$F$204,A52,'Item Price Log'!$K$5:$K$204),""))</x:f>
      </x:c>
      <x:c r="M52" s="32" t="str">
        <x:f>IF(A52="","",IFERROR(MINIFS('Item Price Log'!$K$5:$K$204,'Item Price Log'!$F$5:$F$204,A52),""))</x:f>
      </x:c>
      <x:c r="N52" s="32" t="str">
        <x:f>IF(A52="","",IFERROR(MAXIFS('Item Price Log'!$K$5:$K$204,'Item Price Log'!$F$5:$F$204,A52),""))</x:f>
      </x:c>
      <x:c r="O52" s="32" t="str">
        <x:f>IF(A52="","",SUMIF('Item Price Log'!$F$5:$F$204,A52,'Item Price Log'!$L$5:$L$204))</x:f>
      </x:c>
      <x:c r="P52" s="21" t="str">
        <x:f>IF(A52="","",COUNTIF('Item Price Log'!$F$5:$F$204,A52))</x:f>
      </x:c>
      <x:c r="Q52" s="21"/>
    </x:row>
    <x:row r="53">
      <x:c r="A53" s="21"/>
      <x:c r="B53" s="21"/>
      <x:c r="C53" s="21"/>
      <x:c r="D53" s="21"/>
      <x:c r="E53" s="21"/>
      <x:c r="F53" s="30" t="str">
        <x:f>IF(A53="","",IFERROR(MINIFS('Item Price Log'!$B$5:$B$204,'Item Price Log'!$F$5:$F$204,A53),""))</x:f>
      </x:c>
      <x:c r="G53" s="30" t="str">
        <x:f>IF(A53="","",IFERROR(MAXIFS('Item Price Log'!$B$5:$B$204,'Item Price Log'!$F$5:$F$204,A53),""))</x:f>
      </x:c>
      <x:c r="H53" s="32"/>
      <x:c r="I53" s="32"/>
      <x:c r="J53" s="32"/>
      <x:c r="K53" s="36" t="str">
        <x:f>IF(OR(I53="",J53="",I53=0),"",(J53-I53)/I53)</x:f>
      </x:c>
      <x:c r="L53" s="32" t="str">
        <x:f>IF(A53="","",IFERROR(AVERAGEIF('Item Price Log'!$F$5:$F$204,A53,'Item Price Log'!$K$5:$K$204),""))</x:f>
      </x:c>
      <x:c r="M53" s="32" t="str">
        <x:f>IF(A53="","",IFERROR(MINIFS('Item Price Log'!$K$5:$K$204,'Item Price Log'!$F$5:$F$204,A53),""))</x:f>
      </x:c>
      <x:c r="N53" s="32" t="str">
        <x:f>IF(A53="","",IFERROR(MAXIFS('Item Price Log'!$K$5:$K$204,'Item Price Log'!$F$5:$F$204,A53),""))</x:f>
      </x:c>
      <x:c r="O53" s="32" t="str">
        <x:f>IF(A53="","",SUMIF('Item Price Log'!$F$5:$F$204,A53,'Item Price Log'!$L$5:$L$204))</x:f>
      </x:c>
      <x:c r="P53" s="21" t="str">
        <x:f>IF(A53="","",COUNTIF('Item Price Log'!$F$5:$F$204,A53))</x:f>
      </x:c>
      <x:c r="Q53" s="21"/>
    </x:row>
    <x:row r="54">
      <x:c r="A54" s="21"/>
      <x:c r="B54" s="21"/>
      <x:c r="C54" s="21"/>
      <x:c r="D54" s="21"/>
      <x:c r="E54" s="21"/>
      <x:c r="F54" s="30" t="str">
        <x:f>IF(A54="","",IFERROR(MINIFS('Item Price Log'!$B$5:$B$204,'Item Price Log'!$F$5:$F$204,A54),""))</x:f>
      </x:c>
      <x:c r="G54" s="30" t="str">
        <x:f>IF(A54="","",IFERROR(MAXIFS('Item Price Log'!$B$5:$B$204,'Item Price Log'!$F$5:$F$204,A54),""))</x:f>
      </x:c>
      <x:c r="H54" s="32"/>
      <x:c r="I54" s="32"/>
      <x:c r="J54" s="32"/>
      <x:c r="K54" s="36" t="str">
        <x:f>IF(OR(I54="",J54="",I54=0),"",(J54-I54)/I54)</x:f>
      </x:c>
      <x:c r="L54" s="32" t="str">
        <x:f>IF(A54="","",IFERROR(AVERAGEIF('Item Price Log'!$F$5:$F$204,A54,'Item Price Log'!$K$5:$K$204),""))</x:f>
      </x:c>
      <x:c r="M54" s="32" t="str">
        <x:f>IF(A54="","",IFERROR(MINIFS('Item Price Log'!$K$5:$K$204,'Item Price Log'!$F$5:$F$204,A54),""))</x:f>
      </x:c>
      <x:c r="N54" s="32" t="str">
        <x:f>IF(A54="","",IFERROR(MAXIFS('Item Price Log'!$K$5:$K$204,'Item Price Log'!$F$5:$F$204,A54),""))</x:f>
      </x:c>
      <x:c r="O54" s="32" t="str">
        <x:f>IF(A54="","",SUMIF('Item Price Log'!$F$5:$F$204,A54,'Item Price Log'!$L$5:$L$204))</x:f>
      </x:c>
      <x:c r="P54" s="21" t="str">
        <x:f>IF(A54="","",COUNTIF('Item Price Log'!$F$5:$F$204,A54))</x:f>
      </x:c>
      <x:c r="Q54" s="21"/>
    </x:row>
    <x:row r="55">
      <x:c r="A55" s="21"/>
      <x:c r="B55" s="21"/>
      <x:c r="C55" s="21"/>
      <x:c r="D55" s="21"/>
      <x:c r="E55" s="21"/>
      <x:c r="F55" s="30" t="str">
        <x:f>IF(A55="","",IFERROR(MINIFS('Item Price Log'!$B$5:$B$204,'Item Price Log'!$F$5:$F$204,A55),""))</x:f>
      </x:c>
      <x:c r="G55" s="30" t="str">
        <x:f>IF(A55="","",IFERROR(MAXIFS('Item Price Log'!$B$5:$B$204,'Item Price Log'!$F$5:$F$204,A55),""))</x:f>
      </x:c>
      <x:c r="H55" s="32"/>
      <x:c r="I55" s="32"/>
      <x:c r="J55" s="32"/>
      <x:c r="K55" s="36" t="str">
        <x:f>IF(OR(I55="",J55="",I55=0),"",(J55-I55)/I55)</x:f>
      </x:c>
      <x:c r="L55" s="32" t="str">
        <x:f>IF(A55="","",IFERROR(AVERAGEIF('Item Price Log'!$F$5:$F$204,A55,'Item Price Log'!$K$5:$K$204),""))</x:f>
      </x:c>
      <x:c r="M55" s="32" t="str">
        <x:f>IF(A55="","",IFERROR(MINIFS('Item Price Log'!$K$5:$K$204,'Item Price Log'!$F$5:$F$204,A55),""))</x:f>
      </x:c>
      <x:c r="N55" s="32" t="str">
        <x:f>IF(A55="","",IFERROR(MAXIFS('Item Price Log'!$K$5:$K$204,'Item Price Log'!$F$5:$F$204,A55),""))</x:f>
      </x:c>
      <x:c r="O55" s="32" t="str">
        <x:f>IF(A55="","",SUMIF('Item Price Log'!$F$5:$F$204,A55,'Item Price Log'!$L$5:$L$204))</x:f>
      </x:c>
      <x:c r="P55" s="21" t="str">
        <x:f>IF(A55="","",COUNTIF('Item Price Log'!$F$5:$F$204,A55))</x:f>
      </x:c>
      <x:c r="Q55" s="21"/>
    </x:row>
    <x:row r="56">
      <x:c r="A56" s="21"/>
      <x:c r="B56" s="21"/>
      <x:c r="C56" s="21"/>
      <x:c r="D56" s="21"/>
      <x:c r="E56" s="21"/>
      <x:c r="F56" s="30" t="str">
        <x:f>IF(A56="","",IFERROR(MINIFS('Item Price Log'!$B$5:$B$204,'Item Price Log'!$F$5:$F$204,A56),""))</x:f>
      </x:c>
      <x:c r="G56" s="30" t="str">
        <x:f>IF(A56="","",IFERROR(MAXIFS('Item Price Log'!$B$5:$B$204,'Item Price Log'!$F$5:$F$204,A56),""))</x:f>
      </x:c>
      <x:c r="H56" s="32"/>
      <x:c r="I56" s="32"/>
      <x:c r="J56" s="32"/>
      <x:c r="K56" s="36" t="str">
        <x:f>IF(OR(I56="",J56="",I56=0),"",(J56-I56)/I56)</x:f>
      </x:c>
      <x:c r="L56" s="32" t="str">
        <x:f>IF(A56="","",IFERROR(AVERAGEIF('Item Price Log'!$F$5:$F$204,A56,'Item Price Log'!$K$5:$K$204),""))</x:f>
      </x:c>
      <x:c r="M56" s="32" t="str">
        <x:f>IF(A56="","",IFERROR(MINIFS('Item Price Log'!$K$5:$K$204,'Item Price Log'!$F$5:$F$204,A56),""))</x:f>
      </x:c>
      <x:c r="N56" s="32" t="str">
        <x:f>IF(A56="","",IFERROR(MAXIFS('Item Price Log'!$K$5:$K$204,'Item Price Log'!$F$5:$F$204,A56),""))</x:f>
      </x:c>
      <x:c r="O56" s="32" t="str">
        <x:f>IF(A56="","",SUMIF('Item Price Log'!$F$5:$F$204,A56,'Item Price Log'!$L$5:$L$204))</x:f>
      </x:c>
      <x:c r="P56" s="21" t="str">
        <x:f>IF(A56="","",COUNTIF('Item Price Log'!$F$5:$F$204,A56))</x:f>
      </x:c>
      <x:c r="Q56" s="21"/>
    </x:row>
    <x:row r="57">
      <x:c r="A57" s="21"/>
      <x:c r="B57" s="21"/>
      <x:c r="C57" s="21"/>
      <x:c r="D57" s="21"/>
      <x:c r="E57" s="21"/>
      <x:c r="F57" s="30" t="str">
        <x:f>IF(A57="","",IFERROR(MINIFS('Item Price Log'!$B$5:$B$204,'Item Price Log'!$F$5:$F$204,A57),""))</x:f>
      </x:c>
      <x:c r="G57" s="30" t="str">
        <x:f>IF(A57="","",IFERROR(MAXIFS('Item Price Log'!$B$5:$B$204,'Item Price Log'!$F$5:$F$204,A57),""))</x:f>
      </x:c>
      <x:c r="H57" s="32"/>
      <x:c r="I57" s="32"/>
      <x:c r="J57" s="32"/>
      <x:c r="K57" s="36" t="str">
        <x:f>IF(OR(I57="",J57="",I57=0),"",(J57-I57)/I57)</x:f>
      </x:c>
      <x:c r="L57" s="32" t="str">
        <x:f>IF(A57="","",IFERROR(AVERAGEIF('Item Price Log'!$F$5:$F$204,A57,'Item Price Log'!$K$5:$K$204),""))</x:f>
      </x:c>
      <x:c r="M57" s="32" t="str">
        <x:f>IF(A57="","",IFERROR(MINIFS('Item Price Log'!$K$5:$K$204,'Item Price Log'!$F$5:$F$204,A57),""))</x:f>
      </x:c>
      <x:c r="N57" s="32" t="str">
        <x:f>IF(A57="","",IFERROR(MAXIFS('Item Price Log'!$K$5:$K$204,'Item Price Log'!$F$5:$F$204,A57),""))</x:f>
      </x:c>
      <x:c r="O57" s="32" t="str">
        <x:f>IF(A57="","",SUMIF('Item Price Log'!$F$5:$F$204,A57,'Item Price Log'!$L$5:$L$204))</x:f>
      </x:c>
      <x:c r="P57" s="21" t="str">
        <x:f>IF(A57="","",COUNTIF('Item Price Log'!$F$5:$F$204,A57))</x:f>
      </x:c>
      <x:c r="Q57" s="21"/>
    </x:row>
    <x:row r="58">
      <x:c r="A58" s="21"/>
      <x:c r="B58" s="21"/>
      <x:c r="C58" s="21"/>
      <x:c r="D58" s="21"/>
      <x:c r="E58" s="21"/>
      <x:c r="F58" s="30" t="str">
        <x:f>IF(A58="","",IFERROR(MINIFS('Item Price Log'!$B$5:$B$204,'Item Price Log'!$F$5:$F$204,A58),""))</x:f>
      </x:c>
      <x:c r="G58" s="30" t="str">
        <x:f>IF(A58="","",IFERROR(MAXIFS('Item Price Log'!$B$5:$B$204,'Item Price Log'!$F$5:$F$204,A58),""))</x:f>
      </x:c>
      <x:c r="H58" s="32"/>
      <x:c r="I58" s="32"/>
      <x:c r="J58" s="32"/>
      <x:c r="K58" s="36" t="str">
        <x:f>IF(OR(I58="",J58="",I58=0),"",(J58-I58)/I58)</x:f>
      </x:c>
      <x:c r="L58" s="32" t="str">
        <x:f>IF(A58="","",IFERROR(AVERAGEIF('Item Price Log'!$F$5:$F$204,A58,'Item Price Log'!$K$5:$K$204),""))</x:f>
      </x:c>
      <x:c r="M58" s="32" t="str">
        <x:f>IF(A58="","",IFERROR(MINIFS('Item Price Log'!$K$5:$K$204,'Item Price Log'!$F$5:$F$204,A58),""))</x:f>
      </x:c>
      <x:c r="N58" s="32" t="str">
        <x:f>IF(A58="","",IFERROR(MAXIFS('Item Price Log'!$K$5:$K$204,'Item Price Log'!$F$5:$F$204,A58),""))</x:f>
      </x:c>
      <x:c r="O58" s="32" t="str">
        <x:f>IF(A58="","",SUMIF('Item Price Log'!$F$5:$F$204,A58,'Item Price Log'!$L$5:$L$204))</x:f>
      </x:c>
      <x:c r="P58" s="21" t="str">
        <x:f>IF(A58="","",COUNTIF('Item Price Log'!$F$5:$F$204,A58))</x:f>
      </x:c>
      <x:c r="Q58" s="21"/>
    </x:row>
    <x:row r="59">
      <x:c r="A59" s="21"/>
      <x:c r="B59" s="21"/>
      <x:c r="C59" s="21"/>
      <x:c r="D59" s="21"/>
      <x:c r="E59" s="21"/>
      <x:c r="F59" s="30" t="str">
        <x:f>IF(A59="","",IFERROR(MINIFS('Item Price Log'!$B$5:$B$204,'Item Price Log'!$F$5:$F$204,A59),""))</x:f>
      </x:c>
      <x:c r="G59" s="30" t="str">
        <x:f>IF(A59="","",IFERROR(MAXIFS('Item Price Log'!$B$5:$B$204,'Item Price Log'!$F$5:$F$204,A59),""))</x:f>
      </x:c>
      <x:c r="H59" s="32"/>
      <x:c r="I59" s="32"/>
      <x:c r="J59" s="32"/>
      <x:c r="K59" s="36" t="str">
        <x:f>IF(OR(I59="",J59="",I59=0),"",(J59-I59)/I59)</x:f>
      </x:c>
      <x:c r="L59" s="32" t="str">
        <x:f>IF(A59="","",IFERROR(AVERAGEIF('Item Price Log'!$F$5:$F$204,A59,'Item Price Log'!$K$5:$K$204),""))</x:f>
      </x:c>
      <x:c r="M59" s="32" t="str">
        <x:f>IF(A59="","",IFERROR(MINIFS('Item Price Log'!$K$5:$K$204,'Item Price Log'!$F$5:$F$204,A59),""))</x:f>
      </x:c>
      <x:c r="N59" s="32" t="str">
        <x:f>IF(A59="","",IFERROR(MAXIFS('Item Price Log'!$K$5:$K$204,'Item Price Log'!$F$5:$F$204,A59),""))</x:f>
      </x:c>
      <x:c r="O59" s="32" t="str">
        <x:f>IF(A59="","",SUMIF('Item Price Log'!$F$5:$F$204,A59,'Item Price Log'!$L$5:$L$204))</x:f>
      </x:c>
      <x:c r="P59" s="21" t="str">
        <x:f>IF(A59="","",COUNTIF('Item Price Log'!$F$5:$F$204,A59))</x:f>
      </x:c>
      <x:c r="Q59" s="21"/>
    </x:row>
    <x:row r="60">
      <x:c r="A60" s="21"/>
      <x:c r="B60" s="21"/>
      <x:c r="C60" s="21"/>
      <x:c r="D60" s="21"/>
      <x:c r="E60" s="21"/>
      <x:c r="F60" s="30" t="str">
        <x:f>IF(A60="","",IFERROR(MINIFS('Item Price Log'!$B$5:$B$204,'Item Price Log'!$F$5:$F$204,A60),""))</x:f>
      </x:c>
      <x:c r="G60" s="30" t="str">
        <x:f>IF(A60="","",IFERROR(MAXIFS('Item Price Log'!$B$5:$B$204,'Item Price Log'!$F$5:$F$204,A60),""))</x:f>
      </x:c>
      <x:c r="H60" s="32"/>
      <x:c r="I60" s="32"/>
      <x:c r="J60" s="32"/>
      <x:c r="K60" s="36" t="str">
        <x:f>IF(OR(I60="",J60="",I60=0),"",(J60-I60)/I60)</x:f>
      </x:c>
      <x:c r="L60" s="32" t="str">
        <x:f>IF(A60="","",IFERROR(AVERAGEIF('Item Price Log'!$F$5:$F$204,A60,'Item Price Log'!$K$5:$K$204),""))</x:f>
      </x:c>
      <x:c r="M60" s="32" t="str">
        <x:f>IF(A60="","",IFERROR(MINIFS('Item Price Log'!$K$5:$K$204,'Item Price Log'!$F$5:$F$204,A60),""))</x:f>
      </x:c>
      <x:c r="N60" s="32" t="str">
        <x:f>IF(A60="","",IFERROR(MAXIFS('Item Price Log'!$K$5:$K$204,'Item Price Log'!$F$5:$F$204,A60),""))</x:f>
      </x:c>
      <x:c r="O60" s="32" t="str">
        <x:f>IF(A60="","",SUMIF('Item Price Log'!$F$5:$F$204,A60,'Item Price Log'!$L$5:$L$204))</x:f>
      </x:c>
      <x:c r="P60" s="21" t="str">
        <x:f>IF(A60="","",COUNTIF('Item Price Log'!$F$5:$F$204,A60))</x:f>
      </x:c>
      <x:c r="Q60" s="21"/>
    </x:row>
    <x:row r="61">
      <x:c r="A61" s="21"/>
      <x:c r="B61" s="21"/>
      <x:c r="C61" s="21"/>
      <x:c r="D61" s="21"/>
      <x:c r="E61" s="21"/>
      <x:c r="F61" s="30" t="str">
        <x:f>IF(A61="","",IFERROR(MINIFS('Item Price Log'!$B$5:$B$204,'Item Price Log'!$F$5:$F$204,A61),""))</x:f>
      </x:c>
      <x:c r="G61" s="30" t="str">
        <x:f>IF(A61="","",IFERROR(MAXIFS('Item Price Log'!$B$5:$B$204,'Item Price Log'!$F$5:$F$204,A61),""))</x:f>
      </x:c>
      <x:c r="H61" s="32"/>
      <x:c r="I61" s="32"/>
      <x:c r="J61" s="32"/>
      <x:c r="K61" s="36" t="str">
        <x:f>IF(OR(I61="",J61="",I61=0),"",(J61-I61)/I61)</x:f>
      </x:c>
      <x:c r="L61" s="32" t="str">
        <x:f>IF(A61="","",IFERROR(AVERAGEIF('Item Price Log'!$F$5:$F$204,A61,'Item Price Log'!$K$5:$K$204),""))</x:f>
      </x:c>
      <x:c r="M61" s="32" t="str">
        <x:f>IF(A61="","",IFERROR(MINIFS('Item Price Log'!$K$5:$K$204,'Item Price Log'!$F$5:$F$204,A61),""))</x:f>
      </x:c>
      <x:c r="N61" s="32" t="str">
        <x:f>IF(A61="","",IFERROR(MAXIFS('Item Price Log'!$K$5:$K$204,'Item Price Log'!$F$5:$F$204,A61),""))</x:f>
      </x:c>
      <x:c r="O61" s="32" t="str">
        <x:f>IF(A61="","",SUMIF('Item Price Log'!$F$5:$F$204,A61,'Item Price Log'!$L$5:$L$204))</x:f>
      </x:c>
      <x:c r="P61" s="21" t="str">
        <x:f>IF(A61="","",COUNTIF('Item Price Log'!$F$5:$F$204,A61))</x:f>
      </x:c>
      <x:c r="Q61" s="21"/>
    </x:row>
    <x:row r="62">
      <x:c r="A62" s="21"/>
      <x:c r="B62" s="21"/>
      <x:c r="C62" s="21"/>
      <x:c r="D62" s="21"/>
      <x:c r="E62" s="21"/>
      <x:c r="F62" s="30" t="str">
        <x:f>IF(A62="","",IFERROR(MINIFS('Item Price Log'!$B$5:$B$204,'Item Price Log'!$F$5:$F$204,A62),""))</x:f>
      </x:c>
      <x:c r="G62" s="30" t="str">
        <x:f>IF(A62="","",IFERROR(MAXIFS('Item Price Log'!$B$5:$B$204,'Item Price Log'!$F$5:$F$204,A62),""))</x:f>
      </x:c>
      <x:c r="H62" s="32"/>
      <x:c r="I62" s="32"/>
      <x:c r="J62" s="32"/>
      <x:c r="K62" s="36" t="str">
        <x:f>IF(OR(I62="",J62="",I62=0),"",(J62-I62)/I62)</x:f>
      </x:c>
      <x:c r="L62" s="32" t="str">
        <x:f>IF(A62="","",IFERROR(AVERAGEIF('Item Price Log'!$F$5:$F$204,A62,'Item Price Log'!$K$5:$K$204),""))</x:f>
      </x:c>
      <x:c r="M62" s="32" t="str">
        <x:f>IF(A62="","",IFERROR(MINIFS('Item Price Log'!$K$5:$K$204,'Item Price Log'!$F$5:$F$204,A62),""))</x:f>
      </x:c>
      <x:c r="N62" s="32" t="str">
        <x:f>IF(A62="","",IFERROR(MAXIFS('Item Price Log'!$K$5:$K$204,'Item Price Log'!$F$5:$F$204,A62),""))</x:f>
      </x:c>
      <x:c r="O62" s="32" t="str">
        <x:f>IF(A62="","",SUMIF('Item Price Log'!$F$5:$F$204,A62,'Item Price Log'!$L$5:$L$204))</x:f>
      </x:c>
      <x:c r="P62" s="21" t="str">
        <x:f>IF(A62="","",COUNTIF('Item Price Log'!$F$5:$F$204,A62))</x:f>
      </x:c>
      <x:c r="Q62" s="21"/>
    </x:row>
    <x:row r="63">
      <x:c r="A63" s="21"/>
      <x:c r="B63" s="21"/>
      <x:c r="C63" s="21"/>
      <x:c r="D63" s="21"/>
      <x:c r="E63" s="21"/>
      <x:c r="F63" s="30" t="str">
        <x:f>IF(A63="","",IFERROR(MINIFS('Item Price Log'!$B$5:$B$204,'Item Price Log'!$F$5:$F$204,A63),""))</x:f>
      </x:c>
      <x:c r="G63" s="30" t="str">
        <x:f>IF(A63="","",IFERROR(MAXIFS('Item Price Log'!$B$5:$B$204,'Item Price Log'!$F$5:$F$204,A63),""))</x:f>
      </x:c>
      <x:c r="H63" s="32"/>
      <x:c r="I63" s="32"/>
      <x:c r="J63" s="32"/>
      <x:c r="K63" s="36" t="str">
        <x:f>IF(OR(I63="",J63="",I63=0),"",(J63-I63)/I63)</x:f>
      </x:c>
      <x:c r="L63" s="32" t="str">
        <x:f>IF(A63="","",IFERROR(AVERAGEIF('Item Price Log'!$F$5:$F$204,A63,'Item Price Log'!$K$5:$K$204),""))</x:f>
      </x:c>
      <x:c r="M63" s="32" t="str">
        <x:f>IF(A63="","",IFERROR(MINIFS('Item Price Log'!$K$5:$K$204,'Item Price Log'!$F$5:$F$204,A63),""))</x:f>
      </x:c>
      <x:c r="N63" s="32" t="str">
        <x:f>IF(A63="","",IFERROR(MAXIFS('Item Price Log'!$K$5:$K$204,'Item Price Log'!$F$5:$F$204,A63),""))</x:f>
      </x:c>
      <x:c r="O63" s="32" t="str">
        <x:f>IF(A63="","",SUMIF('Item Price Log'!$F$5:$F$204,A63,'Item Price Log'!$L$5:$L$204))</x:f>
      </x:c>
      <x:c r="P63" s="21" t="str">
        <x:f>IF(A63="","",COUNTIF('Item Price Log'!$F$5:$F$204,A63))</x:f>
      </x:c>
      <x:c r="Q63" s="21"/>
    </x:row>
    <x:row r="64">
      <x:c r="A64" s="21"/>
      <x:c r="B64" s="21"/>
      <x:c r="C64" s="21"/>
      <x:c r="D64" s="21"/>
      <x:c r="E64" s="21"/>
      <x:c r="F64" s="30" t="str">
        <x:f>IF(A64="","",IFERROR(MINIFS('Item Price Log'!$B$5:$B$204,'Item Price Log'!$F$5:$F$204,A64),""))</x:f>
      </x:c>
      <x:c r="G64" s="30" t="str">
        <x:f>IF(A64="","",IFERROR(MAXIFS('Item Price Log'!$B$5:$B$204,'Item Price Log'!$F$5:$F$204,A64),""))</x:f>
      </x:c>
      <x:c r="H64" s="32"/>
      <x:c r="I64" s="32"/>
      <x:c r="J64" s="32"/>
      <x:c r="K64" s="36" t="str">
        <x:f>IF(OR(I64="",J64="",I64=0),"",(J64-I64)/I64)</x:f>
      </x:c>
      <x:c r="L64" s="32" t="str">
        <x:f>IF(A64="","",IFERROR(AVERAGEIF('Item Price Log'!$F$5:$F$204,A64,'Item Price Log'!$K$5:$K$204),""))</x:f>
      </x:c>
      <x:c r="M64" s="32" t="str">
        <x:f>IF(A64="","",IFERROR(MINIFS('Item Price Log'!$K$5:$K$204,'Item Price Log'!$F$5:$F$204,A64),""))</x:f>
      </x:c>
      <x:c r="N64" s="32" t="str">
        <x:f>IF(A64="","",IFERROR(MAXIFS('Item Price Log'!$K$5:$K$204,'Item Price Log'!$F$5:$F$204,A64),""))</x:f>
      </x:c>
      <x:c r="O64" s="32" t="str">
        <x:f>IF(A64="","",SUMIF('Item Price Log'!$F$5:$F$204,A64,'Item Price Log'!$L$5:$L$204))</x:f>
      </x:c>
      <x:c r="P64" s="21" t="str">
        <x:f>IF(A64="","",COUNTIF('Item Price Log'!$F$5:$F$204,A64))</x:f>
      </x:c>
      <x:c r="Q64" s="21"/>
    </x:row>
    <x:row r="65">
      <x:c r="A65" s="21"/>
      <x:c r="B65" s="21"/>
      <x:c r="C65" s="21"/>
      <x:c r="D65" s="21"/>
      <x:c r="E65" s="21"/>
      <x:c r="F65" s="30" t="str">
        <x:f>IF(A65="","",IFERROR(MINIFS('Item Price Log'!$B$5:$B$204,'Item Price Log'!$F$5:$F$204,A65),""))</x:f>
      </x:c>
      <x:c r="G65" s="30" t="str">
        <x:f>IF(A65="","",IFERROR(MAXIFS('Item Price Log'!$B$5:$B$204,'Item Price Log'!$F$5:$F$204,A65),""))</x:f>
      </x:c>
      <x:c r="H65" s="32"/>
      <x:c r="I65" s="32"/>
      <x:c r="J65" s="32"/>
      <x:c r="K65" s="36" t="str">
        <x:f>IF(OR(I65="",J65="",I65=0),"",(J65-I65)/I65)</x:f>
      </x:c>
      <x:c r="L65" s="32" t="str">
        <x:f>IF(A65="","",IFERROR(AVERAGEIF('Item Price Log'!$F$5:$F$204,A65,'Item Price Log'!$K$5:$K$204),""))</x:f>
      </x:c>
      <x:c r="M65" s="32" t="str">
        <x:f>IF(A65="","",IFERROR(MINIFS('Item Price Log'!$K$5:$K$204,'Item Price Log'!$F$5:$F$204,A65),""))</x:f>
      </x:c>
      <x:c r="N65" s="32" t="str">
        <x:f>IF(A65="","",IFERROR(MAXIFS('Item Price Log'!$K$5:$K$204,'Item Price Log'!$F$5:$F$204,A65),""))</x:f>
      </x:c>
      <x:c r="O65" s="32" t="str">
        <x:f>IF(A65="","",SUMIF('Item Price Log'!$F$5:$F$204,A65,'Item Price Log'!$L$5:$L$204))</x:f>
      </x:c>
      <x:c r="P65" s="21" t="str">
        <x:f>IF(A65="","",COUNTIF('Item Price Log'!$F$5:$F$204,A65))</x:f>
      </x:c>
      <x:c r="Q65" s="21"/>
    </x:row>
    <x:row r="66">
      <x:c r="A66" s="21"/>
      <x:c r="B66" s="21"/>
      <x:c r="C66" s="21"/>
      <x:c r="D66" s="21"/>
      <x:c r="E66" s="21"/>
      <x:c r="F66" s="30" t="str">
        <x:f>IF(A66="","",IFERROR(MINIFS('Item Price Log'!$B$5:$B$204,'Item Price Log'!$F$5:$F$204,A66),""))</x:f>
      </x:c>
      <x:c r="G66" s="30" t="str">
        <x:f>IF(A66="","",IFERROR(MAXIFS('Item Price Log'!$B$5:$B$204,'Item Price Log'!$F$5:$F$204,A66),""))</x:f>
      </x:c>
      <x:c r="H66" s="32"/>
      <x:c r="I66" s="32"/>
      <x:c r="J66" s="32"/>
      <x:c r="K66" s="36" t="str">
        <x:f>IF(OR(I66="",J66="",I66=0),"",(J66-I66)/I66)</x:f>
      </x:c>
      <x:c r="L66" s="32" t="str">
        <x:f>IF(A66="","",IFERROR(AVERAGEIF('Item Price Log'!$F$5:$F$204,A66,'Item Price Log'!$K$5:$K$204),""))</x:f>
      </x:c>
      <x:c r="M66" s="32" t="str">
        <x:f>IF(A66="","",IFERROR(MINIFS('Item Price Log'!$K$5:$K$204,'Item Price Log'!$F$5:$F$204,A66),""))</x:f>
      </x:c>
      <x:c r="N66" s="32" t="str">
        <x:f>IF(A66="","",IFERROR(MAXIFS('Item Price Log'!$K$5:$K$204,'Item Price Log'!$F$5:$F$204,A66),""))</x:f>
      </x:c>
      <x:c r="O66" s="32" t="str">
        <x:f>IF(A66="","",SUMIF('Item Price Log'!$F$5:$F$204,A66,'Item Price Log'!$L$5:$L$204))</x:f>
      </x:c>
      <x:c r="P66" s="21" t="str">
        <x:f>IF(A66="","",COUNTIF('Item Price Log'!$F$5:$F$204,A66))</x:f>
      </x:c>
      <x:c r="Q66" s="21"/>
    </x:row>
    <x:row r="67">
      <x:c r="A67" s="21"/>
      <x:c r="B67" s="21"/>
      <x:c r="C67" s="21"/>
      <x:c r="D67" s="21"/>
      <x:c r="E67" s="21"/>
      <x:c r="F67" s="30" t="str">
        <x:f>IF(A67="","",IFERROR(MINIFS('Item Price Log'!$B$5:$B$204,'Item Price Log'!$F$5:$F$204,A67),""))</x:f>
      </x:c>
      <x:c r="G67" s="30" t="str">
        <x:f>IF(A67="","",IFERROR(MAXIFS('Item Price Log'!$B$5:$B$204,'Item Price Log'!$F$5:$F$204,A67),""))</x:f>
      </x:c>
      <x:c r="H67" s="32"/>
      <x:c r="I67" s="32"/>
      <x:c r="J67" s="32"/>
      <x:c r="K67" s="36" t="str">
        <x:f>IF(OR(I67="",J67="",I67=0),"",(J67-I67)/I67)</x:f>
      </x:c>
      <x:c r="L67" s="32" t="str">
        <x:f>IF(A67="","",IFERROR(AVERAGEIF('Item Price Log'!$F$5:$F$204,A67,'Item Price Log'!$K$5:$K$204),""))</x:f>
      </x:c>
      <x:c r="M67" s="32" t="str">
        <x:f>IF(A67="","",IFERROR(MINIFS('Item Price Log'!$K$5:$K$204,'Item Price Log'!$F$5:$F$204,A67),""))</x:f>
      </x:c>
      <x:c r="N67" s="32" t="str">
        <x:f>IF(A67="","",IFERROR(MAXIFS('Item Price Log'!$K$5:$K$204,'Item Price Log'!$F$5:$F$204,A67),""))</x:f>
      </x:c>
      <x:c r="O67" s="32" t="str">
        <x:f>IF(A67="","",SUMIF('Item Price Log'!$F$5:$F$204,A67,'Item Price Log'!$L$5:$L$204))</x:f>
      </x:c>
      <x:c r="P67" s="21" t="str">
        <x:f>IF(A67="","",COUNTIF('Item Price Log'!$F$5:$F$204,A67))</x:f>
      </x:c>
      <x:c r="Q67" s="21"/>
    </x:row>
    <x:row r="68">
      <x:c r="A68" s="21"/>
      <x:c r="B68" s="21"/>
      <x:c r="C68" s="21"/>
      <x:c r="D68" s="21"/>
      <x:c r="E68" s="21"/>
      <x:c r="F68" s="30" t="str">
        <x:f>IF(A68="","",IFERROR(MINIFS('Item Price Log'!$B$5:$B$204,'Item Price Log'!$F$5:$F$204,A68),""))</x:f>
      </x:c>
      <x:c r="G68" s="30" t="str">
        <x:f>IF(A68="","",IFERROR(MAXIFS('Item Price Log'!$B$5:$B$204,'Item Price Log'!$F$5:$F$204,A68),""))</x:f>
      </x:c>
      <x:c r="H68" s="32"/>
      <x:c r="I68" s="32"/>
      <x:c r="J68" s="32"/>
      <x:c r="K68" s="36" t="str">
        <x:f>IF(OR(I68="",J68="",I68=0),"",(J68-I68)/I68)</x:f>
      </x:c>
      <x:c r="L68" s="32" t="str">
        <x:f>IF(A68="","",IFERROR(AVERAGEIF('Item Price Log'!$F$5:$F$204,A68,'Item Price Log'!$K$5:$K$204),""))</x:f>
      </x:c>
      <x:c r="M68" s="32" t="str">
        <x:f>IF(A68="","",IFERROR(MINIFS('Item Price Log'!$K$5:$K$204,'Item Price Log'!$F$5:$F$204,A68),""))</x:f>
      </x:c>
      <x:c r="N68" s="32" t="str">
        <x:f>IF(A68="","",IFERROR(MAXIFS('Item Price Log'!$K$5:$K$204,'Item Price Log'!$F$5:$F$204,A68),""))</x:f>
      </x:c>
      <x:c r="O68" s="32" t="str">
        <x:f>IF(A68="","",SUMIF('Item Price Log'!$F$5:$F$204,A68,'Item Price Log'!$L$5:$L$204))</x:f>
      </x:c>
      <x:c r="P68" s="21" t="str">
        <x:f>IF(A68="","",COUNTIF('Item Price Log'!$F$5:$F$204,A68))</x:f>
      </x:c>
      <x:c r="Q68" s="21"/>
    </x:row>
    <x:row r="69">
      <x:c r="A69" s="21"/>
      <x:c r="B69" s="21"/>
      <x:c r="C69" s="21"/>
      <x:c r="D69" s="21"/>
      <x:c r="E69" s="21"/>
      <x:c r="F69" s="30" t="str">
        <x:f>IF(A69="","",IFERROR(MINIFS('Item Price Log'!$B$5:$B$204,'Item Price Log'!$F$5:$F$204,A69),""))</x:f>
      </x:c>
      <x:c r="G69" s="30" t="str">
        <x:f>IF(A69="","",IFERROR(MAXIFS('Item Price Log'!$B$5:$B$204,'Item Price Log'!$F$5:$F$204,A69),""))</x:f>
      </x:c>
      <x:c r="H69" s="32"/>
      <x:c r="I69" s="32"/>
      <x:c r="J69" s="32"/>
      <x:c r="K69" s="36" t="str">
        <x:f>IF(OR(I69="",J69="",I69=0),"",(J69-I69)/I69)</x:f>
      </x:c>
      <x:c r="L69" s="32" t="str">
        <x:f>IF(A69="","",IFERROR(AVERAGEIF('Item Price Log'!$F$5:$F$204,A69,'Item Price Log'!$K$5:$K$204),""))</x:f>
      </x:c>
      <x:c r="M69" s="32" t="str">
        <x:f>IF(A69="","",IFERROR(MINIFS('Item Price Log'!$K$5:$K$204,'Item Price Log'!$F$5:$F$204,A69),""))</x:f>
      </x:c>
      <x:c r="N69" s="32" t="str">
        <x:f>IF(A69="","",IFERROR(MAXIFS('Item Price Log'!$K$5:$K$204,'Item Price Log'!$F$5:$F$204,A69),""))</x:f>
      </x:c>
      <x:c r="O69" s="32" t="str">
        <x:f>IF(A69="","",SUMIF('Item Price Log'!$F$5:$F$204,A69,'Item Price Log'!$L$5:$L$204))</x:f>
      </x:c>
      <x:c r="P69" s="21" t="str">
        <x:f>IF(A69="","",COUNTIF('Item Price Log'!$F$5:$F$204,A69))</x:f>
      </x:c>
      <x:c r="Q69" s="21"/>
    </x:row>
    <x:row r="70">
      <x:c r="A70" s="21"/>
      <x:c r="B70" s="21"/>
      <x:c r="C70" s="21"/>
      <x:c r="D70" s="21"/>
      <x:c r="E70" s="21"/>
      <x:c r="F70" s="30" t="str">
        <x:f>IF(A70="","",IFERROR(MINIFS('Item Price Log'!$B$5:$B$204,'Item Price Log'!$F$5:$F$204,A70),""))</x:f>
      </x:c>
      <x:c r="G70" s="30" t="str">
        <x:f>IF(A70="","",IFERROR(MAXIFS('Item Price Log'!$B$5:$B$204,'Item Price Log'!$F$5:$F$204,A70),""))</x:f>
      </x:c>
      <x:c r="H70" s="32"/>
      <x:c r="I70" s="32"/>
      <x:c r="J70" s="32"/>
      <x:c r="K70" s="36" t="str">
        <x:f>IF(OR(I70="",J70="",I70=0),"",(J70-I70)/I70)</x:f>
      </x:c>
      <x:c r="L70" s="32" t="str">
        <x:f>IF(A70="","",IFERROR(AVERAGEIF('Item Price Log'!$F$5:$F$204,A70,'Item Price Log'!$K$5:$K$204),""))</x:f>
      </x:c>
      <x:c r="M70" s="32" t="str">
        <x:f>IF(A70="","",IFERROR(MINIFS('Item Price Log'!$K$5:$K$204,'Item Price Log'!$F$5:$F$204,A70),""))</x:f>
      </x:c>
      <x:c r="N70" s="32" t="str">
        <x:f>IF(A70="","",IFERROR(MAXIFS('Item Price Log'!$K$5:$K$204,'Item Price Log'!$F$5:$F$204,A70),""))</x:f>
      </x:c>
      <x:c r="O70" s="32" t="str">
        <x:f>IF(A70="","",SUMIF('Item Price Log'!$F$5:$F$204,A70,'Item Price Log'!$L$5:$L$204))</x:f>
      </x:c>
      <x:c r="P70" s="21" t="str">
        <x:f>IF(A70="","",COUNTIF('Item Price Log'!$F$5:$F$204,A70))</x:f>
      </x:c>
      <x:c r="Q70" s="21"/>
    </x:row>
    <x:row r="71">
      <x:c r="A71" s="21"/>
      <x:c r="B71" s="21"/>
      <x:c r="C71" s="21"/>
      <x:c r="D71" s="21"/>
      <x:c r="E71" s="21"/>
      <x:c r="F71" s="30" t="str">
        <x:f>IF(A71="","",IFERROR(MINIFS('Item Price Log'!$B$5:$B$204,'Item Price Log'!$F$5:$F$204,A71),""))</x:f>
      </x:c>
      <x:c r="G71" s="30" t="str">
        <x:f>IF(A71="","",IFERROR(MAXIFS('Item Price Log'!$B$5:$B$204,'Item Price Log'!$F$5:$F$204,A71),""))</x:f>
      </x:c>
      <x:c r="H71" s="32"/>
      <x:c r="I71" s="32"/>
      <x:c r="J71" s="32"/>
      <x:c r="K71" s="36" t="str">
        <x:f>IF(OR(I71="",J71="",I71=0),"",(J71-I71)/I71)</x:f>
      </x:c>
      <x:c r="L71" s="32" t="str">
        <x:f>IF(A71="","",IFERROR(AVERAGEIF('Item Price Log'!$F$5:$F$204,A71,'Item Price Log'!$K$5:$K$204),""))</x:f>
      </x:c>
      <x:c r="M71" s="32" t="str">
        <x:f>IF(A71="","",IFERROR(MINIFS('Item Price Log'!$K$5:$K$204,'Item Price Log'!$F$5:$F$204,A71),""))</x:f>
      </x:c>
      <x:c r="N71" s="32" t="str">
        <x:f>IF(A71="","",IFERROR(MAXIFS('Item Price Log'!$K$5:$K$204,'Item Price Log'!$F$5:$F$204,A71),""))</x:f>
      </x:c>
      <x:c r="O71" s="32" t="str">
        <x:f>IF(A71="","",SUMIF('Item Price Log'!$F$5:$F$204,A71,'Item Price Log'!$L$5:$L$204))</x:f>
      </x:c>
      <x:c r="P71" s="21" t="str">
        <x:f>IF(A71="","",COUNTIF('Item Price Log'!$F$5:$F$204,A71))</x:f>
      </x:c>
      <x:c r="Q71" s="21"/>
    </x:row>
    <x:row r="72">
      <x:c r="A72" s="21"/>
      <x:c r="B72" s="21"/>
      <x:c r="C72" s="21"/>
      <x:c r="D72" s="21"/>
      <x:c r="E72" s="21"/>
      <x:c r="F72" s="30" t="str">
        <x:f>IF(A72="","",IFERROR(MINIFS('Item Price Log'!$B$5:$B$204,'Item Price Log'!$F$5:$F$204,A72),""))</x:f>
      </x:c>
      <x:c r="G72" s="30" t="str">
        <x:f>IF(A72="","",IFERROR(MAXIFS('Item Price Log'!$B$5:$B$204,'Item Price Log'!$F$5:$F$204,A72),""))</x:f>
      </x:c>
      <x:c r="H72" s="32"/>
      <x:c r="I72" s="32"/>
      <x:c r="J72" s="32"/>
      <x:c r="K72" s="36" t="str">
        <x:f>IF(OR(I72="",J72="",I72=0),"",(J72-I72)/I72)</x:f>
      </x:c>
      <x:c r="L72" s="32" t="str">
        <x:f>IF(A72="","",IFERROR(AVERAGEIF('Item Price Log'!$F$5:$F$204,A72,'Item Price Log'!$K$5:$K$204),""))</x:f>
      </x:c>
      <x:c r="M72" s="32" t="str">
        <x:f>IF(A72="","",IFERROR(MINIFS('Item Price Log'!$K$5:$K$204,'Item Price Log'!$F$5:$F$204,A72),""))</x:f>
      </x:c>
      <x:c r="N72" s="32" t="str">
        <x:f>IF(A72="","",IFERROR(MAXIFS('Item Price Log'!$K$5:$K$204,'Item Price Log'!$F$5:$F$204,A72),""))</x:f>
      </x:c>
      <x:c r="O72" s="32" t="str">
        <x:f>IF(A72="","",SUMIF('Item Price Log'!$F$5:$F$204,A72,'Item Price Log'!$L$5:$L$204))</x:f>
      </x:c>
      <x:c r="P72" s="21" t="str">
        <x:f>IF(A72="","",COUNTIF('Item Price Log'!$F$5:$F$204,A72))</x:f>
      </x:c>
      <x:c r="Q72" s="21"/>
    </x:row>
    <x:row r="73">
      <x:c r="A73" s="21"/>
      <x:c r="B73" s="21"/>
      <x:c r="C73" s="21"/>
      <x:c r="D73" s="21"/>
      <x:c r="E73" s="21"/>
      <x:c r="F73" s="30" t="str">
        <x:f>IF(A73="","",IFERROR(MINIFS('Item Price Log'!$B$5:$B$204,'Item Price Log'!$F$5:$F$204,A73),""))</x:f>
      </x:c>
      <x:c r="G73" s="30" t="str">
        <x:f>IF(A73="","",IFERROR(MAXIFS('Item Price Log'!$B$5:$B$204,'Item Price Log'!$F$5:$F$204,A73),""))</x:f>
      </x:c>
      <x:c r="H73" s="32"/>
      <x:c r="I73" s="32"/>
      <x:c r="J73" s="32"/>
      <x:c r="K73" s="36" t="str">
        <x:f>IF(OR(I73="",J73="",I73=0),"",(J73-I73)/I73)</x:f>
      </x:c>
      <x:c r="L73" s="32" t="str">
        <x:f>IF(A73="","",IFERROR(AVERAGEIF('Item Price Log'!$F$5:$F$204,A73,'Item Price Log'!$K$5:$K$204),""))</x:f>
      </x:c>
      <x:c r="M73" s="32" t="str">
        <x:f>IF(A73="","",IFERROR(MINIFS('Item Price Log'!$K$5:$K$204,'Item Price Log'!$F$5:$F$204,A73),""))</x:f>
      </x:c>
      <x:c r="N73" s="32" t="str">
        <x:f>IF(A73="","",IFERROR(MAXIFS('Item Price Log'!$K$5:$K$204,'Item Price Log'!$F$5:$F$204,A73),""))</x:f>
      </x:c>
      <x:c r="O73" s="32" t="str">
        <x:f>IF(A73="","",SUMIF('Item Price Log'!$F$5:$F$204,A73,'Item Price Log'!$L$5:$L$204))</x:f>
      </x:c>
      <x:c r="P73" s="21" t="str">
        <x:f>IF(A73="","",COUNTIF('Item Price Log'!$F$5:$F$204,A73))</x:f>
      </x:c>
      <x:c r="Q73" s="21"/>
    </x:row>
    <x:row r="74">
      <x:c r="A74" s="21"/>
      <x:c r="B74" s="21"/>
      <x:c r="C74" s="21"/>
      <x:c r="D74" s="21"/>
      <x:c r="E74" s="21"/>
      <x:c r="F74" s="30" t="str">
        <x:f>IF(A74="","",IFERROR(MINIFS('Item Price Log'!$B$5:$B$204,'Item Price Log'!$F$5:$F$204,A74),""))</x:f>
      </x:c>
      <x:c r="G74" s="30" t="str">
        <x:f>IF(A74="","",IFERROR(MAXIFS('Item Price Log'!$B$5:$B$204,'Item Price Log'!$F$5:$F$204,A74),""))</x:f>
      </x:c>
      <x:c r="H74" s="32"/>
      <x:c r="I74" s="32"/>
      <x:c r="J74" s="32"/>
      <x:c r="K74" s="36" t="str">
        <x:f>IF(OR(I74="",J74="",I74=0),"",(J74-I74)/I74)</x:f>
      </x:c>
      <x:c r="L74" s="32" t="str">
        <x:f>IF(A74="","",IFERROR(AVERAGEIF('Item Price Log'!$F$5:$F$204,A74,'Item Price Log'!$K$5:$K$204),""))</x:f>
      </x:c>
      <x:c r="M74" s="32" t="str">
        <x:f>IF(A74="","",IFERROR(MINIFS('Item Price Log'!$K$5:$K$204,'Item Price Log'!$F$5:$F$204,A74),""))</x:f>
      </x:c>
      <x:c r="N74" s="32" t="str">
        <x:f>IF(A74="","",IFERROR(MAXIFS('Item Price Log'!$K$5:$K$204,'Item Price Log'!$F$5:$F$204,A74),""))</x:f>
      </x:c>
      <x:c r="O74" s="32" t="str">
        <x:f>IF(A74="","",SUMIF('Item Price Log'!$F$5:$F$204,A74,'Item Price Log'!$L$5:$L$204))</x:f>
      </x:c>
      <x:c r="P74" s="21" t="str">
        <x:f>IF(A74="","",COUNTIF('Item Price Log'!$F$5:$F$204,A74))</x:f>
      </x:c>
      <x:c r="Q74" s="21"/>
    </x:row>
    <x:row r="75">
      <x:c r="A75" s="21"/>
      <x:c r="B75" s="21"/>
      <x:c r="C75" s="21"/>
      <x:c r="D75" s="21"/>
      <x:c r="E75" s="21"/>
      <x:c r="F75" s="30" t="str">
        <x:f>IF(A75="","",IFERROR(MINIFS('Item Price Log'!$B$5:$B$204,'Item Price Log'!$F$5:$F$204,A75),""))</x:f>
      </x:c>
      <x:c r="G75" s="30" t="str">
        <x:f>IF(A75="","",IFERROR(MAXIFS('Item Price Log'!$B$5:$B$204,'Item Price Log'!$F$5:$F$204,A75),""))</x:f>
      </x:c>
      <x:c r="H75" s="32"/>
      <x:c r="I75" s="32"/>
      <x:c r="J75" s="32"/>
      <x:c r="K75" s="36" t="str">
        <x:f>IF(OR(I75="",J75="",I75=0),"",(J75-I75)/I75)</x:f>
      </x:c>
      <x:c r="L75" s="32" t="str">
        <x:f>IF(A75="","",IFERROR(AVERAGEIF('Item Price Log'!$F$5:$F$204,A75,'Item Price Log'!$K$5:$K$204),""))</x:f>
      </x:c>
      <x:c r="M75" s="32" t="str">
        <x:f>IF(A75="","",IFERROR(MINIFS('Item Price Log'!$K$5:$K$204,'Item Price Log'!$F$5:$F$204,A75),""))</x:f>
      </x:c>
      <x:c r="N75" s="32" t="str">
        <x:f>IF(A75="","",IFERROR(MAXIFS('Item Price Log'!$K$5:$K$204,'Item Price Log'!$F$5:$F$204,A75),""))</x:f>
      </x:c>
      <x:c r="O75" s="32" t="str">
        <x:f>IF(A75="","",SUMIF('Item Price Log'!$F$5:$F$204,A75,'Item Price Log'!$L$5:$L$204))</x:f>
      </x:c>
      <x:c r="P75" s="21" t="str">
        <x:f>IF(A75="","",COUNTIF('Item Price Log'!$F$5:$F$204,A75))</x:f>
      </x:c>
      <x:c r="Q75" s="21"/>
    </x:row>
    <x:row r="76">
      <x:c r="A76" s="21"/>
      <x:c r="B76" s="21"/>
      <x:c r="C76" s="21"/>
      <x:c r="D76" s="21"/>
      <x:c r="E76" s="21"/>
      <x:c r="F76" s="30" t="str">
        <x:f>IF(A76="","",IFERROR(MINIFS('Item Price Log'!$B$5:$B$204,'Item Price Log'!$F$5:$F$204,A76),""))</x:f>
      </x:c>
      <x:c r="G76" s="30" t="str">
        <x:f>IF(A76="","",IFERROR(MAXIFS('Item Price Log'!$B$5:$B$204,'Item Price Log'!$F$5:$F$204,A76),""))</x:f>
      </x:c>
      <x:c r="H76" s="32"/>
      <x:c r="I76" s="32"/>
      <x:c r="J76" s="32"/>
      <x:c r="K76" s="36" t="str">
        <x:f>IF(OR(I76="",J76="",I76=0),"",(J76-I76)/I76)</x:f>
      </x:c>
      <x:c r="L76" s="32" t="str">
        <x:f>IF(A76="","",IFERROR(AVERAGEIF('Item Price Log'!$F$5:$F$204,A76,'Item Price Log'!$K$5:$K$204),""))</x:f>
      </x:c>
      <x:c r="M76" s="32" t="str">
        <x:f>IF(A76="","",IFERROR(MINIFS('Item Price Log'!$K$5:$K$204,'Item Price Log'!$F$5:$F$204,A76),""))</x:f>
      </x:c>
      <x:c r="N76" s="32" t="str">
        <x:f>IF(A76="","",IFERROR(MAXIFS('Item Price Log'!$K$5:$K$204,'Item Price Log'!$F$5:$F$204,A76),""))</x:f>
      </x:c>
      <x:c r="O76" s="32" t="str">
        <x:f>IF(A76="","",SUMIF('Item Price Log'!$F$5:$F$204,A76,'Item Price Log'!$L$5:$L$204))</x:f>
      </x:c>
      <x:c r="P76" s="21" t="str">
        <x:f>IF(A76="","",COUNTIF('Item Price Log'!$F$5:$F$204,A76))</x:f>
      </x:c>
      <x:c r="Q76" s="21"/>
    </x:row>
    <x:row r="77">
      <x:c r="A77" s="21"/>
      <x:c r="B77" s="21"/>
      <x:c r="C77" s="21"/>
      <x:c r="D77" s="21"/>
      <x:c r="E77" s="21"/>
      <x:c r="F77" s="30" t="str">
        <x:f>IF(A77="","",IFERROR(MINIFS('Item Price Log'!$B$5:$B$204,'Item Price Log'!$F$5:$F$204,A77),""))</x:f>
      </x:c>
      <x:c r="G77" s="30" t="str">
        <x:f>IF(A77="","",IFERROR(MAXIFS('Item Price Log'!$B$5:$B$204,'Item Price Log'!$F$5:$F$204,A77),""))</x:f>
      </x:c>
      <x:c r="H77" s="32"/>
      <x:c r="I77" s="32"/>
      <x:c r="J77" s="32"/>
      <x:c r="K77" s="36" t="str">
        <x:f>IF(OR(I77="",J77="",I77=0),"",(J77-I77)/I77)</x:f>
      </x:c>
      <x:c r="L77" s="32" t="str">
        <x:f>IF(A77="","",IFERROR(AVERAGEIF('Item Price Log'!$F$5:$F$204,A77,'Item Price Log'!$K$5:$K$204),""))</x:f>
      </x:c>
      <x:c r="M77" s="32" t="str">
        <x:f>IF(A77="","",IFERROR(MINIFS('Item Price Log'!$K$5:$K$204,'Item Price Log'!$F$5:$F$204,A77),""))</x:f>
      </x:c>
      <x:c r="N77" s="32" t="str">
        <x:f>IF(A77="","",IFERROR(MAXIFS('Item Price Log'!$K$5:$K$204,'Item Price Log'!$F$5:$F$204,A77),""))</x:f>
      </x:c>
      <x:c r="O77" s="32" t="str">
        <x:f>IF(A77="","",SUMIF('Item Price Log'!$F$5:$F$204,A77,'Item Price Log'!$L$5:$L$204))</x:f>
      </x:c>
      <x:c r="P77" s="21" t="str">
        <x:f>IF(A77="","",COUNTIF('Item Price Log'!$F$5:$F$204,A77))</x:f>
      </x:c>
      <x:c r="Q77" s="21"/>
    </x:row>
    <x:row r="78">
      <x:c r="A78" s="21"/>
      <x:c r="B78" s="21"/>
      <x:c r="C78" s="21"/>
      <x:c r="D78" s="21"/>
      <x:c r="E78" s="21"/>
      <x:c r="F78" s="30" t="str">
        <x:f>IF(A78="","",IFERROR(MINIFS('Item Price Log'!$B$5:$B$204,'Item Price Log'!$F$5:$F$204,A78),""))</x:f>
      </x:c>
      <x:c r="G78" s="30" t="str">
        <x:f>IF(A78="","",IFERROR(MAXIFS('Item Price Log'!$B$5:$B$204,'Item Price Log'!$F$5:$F$204,A78),""))</x:f>
      </x:c>
      <x:c r="H78" s="32"/>
      <x:c r="I78" s="32"/>
      <x:c r="J78" s="32"/>
      <x:c r="K78" s="36" t="str">
        <x:f>IF(OR(I78="",J78="",I78=0),"",(J78-I78)/I78)</x:f>
      </x:c>
      <x:c r="L78" s="32" t="str">
        <x:f>IF(A78="","",IFERROR(AVERAGEIF('Item Price Log'!$F$5:$F$204,A78,'Item Price Log'!$K$5:$K$204),""))</x:f>
      </x:c>
      <x:c r="M78" s="32" t="str">
        <x:f>IF(A78="","",IFERROR(MINIFS('Item Price Log'!$K$5:$K$204,'Item Price Log'!$F$5:$F$204,A78),""))</x:f>
      </x:c>
      <x:c r="N78" s="32" t="str">
        <x:f>IF(A78="","",IFERROR(MAXIFS('Item Price Log'!$K$5:$K$204,'Item Price Log'!$F$5:$F$204,A78),""))</x:f>
      </x:c>
      <x:c r="O78" s="32" t="str">
        <x:f>IF(A78="","",SUMIF('Item Price Log'!$F$5:$F$204,A78,'Item Price Log'!$L$5:$L$204))</x:f>
      </x:c>
      <x:c r="P78" s="21" t="str">
        <x:f>IF(A78="","",COUNTIF('Item Price Log'!$F$5:$F$204,A78))</x:f>
      </x:c>
      <x:c r="Q78" s="21"/>
    </x:row>
    <x:row r="79">
      <x:c r="A79" s="21"/>
      <x:c r="B79" s="21"/>
      <x:c r="C79" s="21"/>
      <x:c r="D79" s="21"/>
      <x:c r="E79" s="21"/>
      <x:c r="F79" s="30" t="str">
        <x:f>IF(A79="","",IFERROR(MINIFS('Item Price Log'!$B$5:$B$204,'Item Price Log'!$F$5:$F$204,A79),""))</x:f>
      </x:c>
      <x:c r="G79" s="30" t="str">
        <x:f>IF(A79="","",IFERROR(MAXIFS('Item Price Log'!$B$5:$B$204,'Item Price Log'!$F$5:$F$204,A79),""))</x:f>
      </x:c>
      <x:c r="H79" s="32"/>
      <x:c r="I79" s="32"/>
      <x:c r="J79" s="32"/>
      <x:c r="K79" s="36" t="str">
        <x:f>IF(OR(I79="",J79="",I79=0),"",(J79-I79)/I79)</x:f>
      </x:c>
      <x:c r="L79" s="32" t="str">
        <x:f>IF(A79="","",IFERROR(AVERAGEIF('Item Price Log'!$F$5:$F$204,A79,'Item Price Log'!$K$5:$K$204),""))</x:f>
      </x:c>
      <x:c r="M79" s="32" t="str">
        <x:f>IF(A79="","",IFERROR(MINIFS('Item Price Log'!$K$5:$K$204,'Item Price Log'!$F$5:$F$204,A79),""))</x:f>
      </x:c>
      <x:c r="N79" s="32" t="str">
        <x:f>IF(A79="","",IFERROR(MAXIFS('Item Price Log'!$K$5:$K$204,'Item Price Log'!$F$5:$F$204,A79),""))</x:f>
      </x:c>
      <x:c r="O79" s="32" t="str">
        <x:f>IF(A79="","",SUMIF('Item Price Log'!$F$5:$F$204,A79,'Item Price Log'!$L$5:$L$204))</x:f>
      </x:c>
      <x:c r="P79" s="21" t="str">
        <x:f>IF(A79="","",COUNTIF('Item Price Log'!$F$5:$F$204,A79))</x:f>
      </x:c>
      <x:c r="Q79" s="21"/>
    </x:row>
    <x:row r="80">
      <x:c r="A80" s="21"/>
      <x:c r="B80" s="21"/>
      <x:c r="C80" s="21"/>
      <x:c r="D80" s="21"/>
      <x:c r="E80" s="21"/>
      <x:c r="F80" s="30" t="str">
        <x:f>IF(A80="","",IFERROR(MINIFS('Item Price Log'!$B$5:$B$204,'Item Price Log'!$F$5:$F$204,A80),""))</x:f>
      </x:c>
      <x:c r="G80" s="30" t="str">
        <x:f>IF(A80="","",IFERROR(MAXIFS('Item Price Log'!$B$5:$B$204,'Item Price Log'!$F$5:$F$204,A80),""))</x:f>
      </x:c>
      <x:c r="H80" s="32"/>
      <x:c r="I80" s="32"/>
      <x:c r="J80" s="32"/>
      <x:c r="K80" s="36" t="str">
        <x:f>IF(OR(I80="",J80="",I80=0),"",(J80-I80)/I80)</x:f>
      </x:c>
      <x:c r="L80" s="32" t="str">
        <x:f>IF(A80="","",IFERROR(AVERAGEIF('Item Price Log'!$F$5:$F$204,A80,'Item Price Log'!$K$5:$K$204),""))</x:f>
      </x:c>
      <x:c r="M80" s="32" t="str">
        <x:f>IF(A80="","",IFERROR(MINIFS('Item Price Log'!$K$5:$K$204,'Item Price Log'!$F$5:$F$204,A80),""))</x:f>
      </x:c>
      <x:c r="N80" s="32" t="str">
        <x:f>IF(A80="","",IFERROR(MAXIFS('Item Price Log'!$K$5:$K$204,'Item Price Log'!$F$5:$F$204,A80),""))</x:f>
      </x:c>
      <x:c r="O80" s="32" t="str">
        <x:f>IF(A80="","",SUMIF('Item Price Log'!$F$5:$F$204,A80,'Item Price Log'!$L$5:$L$204))</x:f>
      </x:c>
      <x:c r="P80" s="21" t="str">
        <x:f>IF(A80="","",COUNTIF('Item Price Log'!$F$5:$F$204,A80))</x:f>
      </x:c>
      <x:c r="Q80" s="21"/>
    </x:row>
    <x:row r="81">
      <x:c r="A81" s="21"/>
      <x:c r="B81" s="21"/>
      <x:c r="C81" s="21"/>
      <x:c r="D81" s="21"/>
      <x:c r="E81" s="21"/>
      <x:c r="F81" s="30" t="str">
        <x:f>IF(A81="","",IFERROR(MINIFS('Item Price Log'!$B$5:$B$204,'Item Price Log'!$F$5:$F$204,A81),""))</x:f>
      </x:c>
      <x:c r="G81" s="30" t="str">
        <x:f>IF(A81="","",IFERROR(MAXIFS('Item Price Log'!$B$5:$B$204,'Item Price Log'!$F$5:$F$204,A81),""))</x:f>
      </x:c>
      <x:c r="H81" s="32"/>
      <x:c r="I81" s="32"/>
      <x:c r="J81" s="32"/>
      <x:c r="K81" s="36" t="str">
        <x:f>IF(OR(I81="",J81="",I81=0),"",(J81-I81)/I81)</x:f>
      </x:c>
      <x:c r="L81" s="32" t="str">
        <x:f>IF(A81="","",IFERROR(AVERAGEIF('Item Price Log'!$F$5:$F$204,A81,'Item Price Log'!$K$5:$K$204),""))</x:f>
      </x:c>
      <x:c r="M81" s="32" t="str">
        <x:f>IF(A81="","",IFERROR(MINIFS('Item Price Log'!$K$5:$K$204,'Item Price Log'!$F$5:$F$204,A81),""))</x:f>
      </x:c>
      <x:c r="N81" s="32" t="str">
        <x:f>IF(A81="","",IFERROR(MAXIFS('Item Price Log'!$K$5:$K$204,'Item Price Log'!$F$5:$F$204,A81),""))</x:f>
      </x:c>
      <x:c r="O81" s="32" t="str">
        <x:f>IF(A81="","",SUMIF('Item Price Log'!$F$5:$F$204,A81,'Item Price Log'!$L$5:$L$204))</x:f>
      </x:c>
      <x:c r="P81" s="21" t="str">
        <x:f>IF(A81="","",COUNTIF('Item Price Log'!$F$5:$F$204,A81))</x:f>
      </x:c>
      <x:c r="Q81" s="21"/>
    </x:row>
    <x:row r="82">
      <x:c r="A82" s="21"/>
      <x:c r="B82" s="21"/>
      <x:c r="C82" s="21"/>
      <x:c r="D82" s="21"/>
      <x:c r="E82" s="21"/>
      <x:c r="F82" s="30" t="str">
        <x:f>IF(A82="","",IFERROR(MINIFS('Item Price Log'!$B$5:$B$204,'Item Price Log'!$F$5:$F$204,A82),""))</x:f>
      </x:c>
      <x:c r="G82" s="30" t="str">
        <x:f>IF(A82="","",IFERROR(MAXIFS('Item Price Log'!$B$5:$B$204,'Item Price Log'!$F$5:$F$204,A82),""))</x:f>
      </x:c>
      <x:c r="H82" s="32"/>
      <x:c r="I82" s="32"/>
      <x:c r="J82" s="32"/>
      <x:c r="K82" s="36" t="str">
        <x:f>IF(OR(I82="",J82="",I82=0),"",(J82-I82)/I82)</x:f>
      </x:c>
      <x:c r="L82" s="32" t="str">
        <x:f>IF(A82="","",IFERROR(AVERAGEIF('Item Price Log'!$F$5:$F$204,A82,'Item Price Log'!$K$5:$K$204),""))</x:f>
      </x:c>
      <x:c r="M82" s="32" t="str">
        <x:f>IF(A82="","",IFERROR(MINIFS('Item Price Log'!$K$5:$K$204,'Item Price Log'!$F$5:$F$204,A82),""))</x:f>
      </x:c>
      <x:c r="N82" s="32" t="str">
        <x:f>IF(A82="","",IFERROR(MAXIFS('Item Price Log'!$K$5:$K$204,'Item Price Log'!$F$5:$F$204,A82),""))</x:f>
      </x:c>
      <x:c r="O82" s="32" t="str">
        <x:f>IF(A82="","",SUMIF('Item Price Log'!$F$5:$F$204,A82,'Item Price Log'!$L$5:$L$204))</x:f>
      </x:c>
      <x:c r="P82" s="21" t="str">
        <x:f>IF(A82="","",COUNTIF('Item Price Log'!$F$5:$F$204,A82))</x:f>
      </x:c>
      <x:c r="Q82" s="21"/>
    </x:row>
    <x:row r="83">
      <x:c r="A83" s="21"/>
      <x:c r="B83" s="21"/>
      <x:c r="C83" s="21"/>
      <x:c r="D83" s="21"/>
      <x:c r="E83" s="21"/>
      <x:c r="F83" s="30" t="str">
        <x:f>IF(A83="","",IFERROR(MINIFS('Item Price Log'!$B$5:$B$204,'Item Price Log'!$F$5:$F$204,A83),""))</x:f>
      </x:c>
      <x:c r="G83" s="30" t="str">
        <x:f>IF(A83="","",IFERROR(MAXIFS('Item Price Log'!$B$5:$B$204,'Item Price Log'!$F$5:$F$204,A83),""))</x:f>
      </x:c>
      <x:c r="H83" s="32"/>
      <x:c r="I83" s="32"/>
      <x:c r="J83" s="32"/>
      <x:c r="K83" s="36" t="str">
        <x:f>IF(OR(I83="",J83="",I83=0),"",(J83-I83)/I83)</x:f>
      </x:c>
      <x:c r="L83" s="32" t="str">
        <x:f>IF(A83="","",IFERROR(AVERAGEIF('Item Price Log'!$F$5:$F$204,A83,'Item Price Log'!$K$5:$K$204),""))</x:f>
      </x:c>
      <x:c r="M83" s="32" t="str">
        <x:f>IF(A83="","",IFERROR(MINIFS('Item Price Log'!$K$5:$K$204,'Item Price Log'!$F$5:$F$204,A83),""))</x:f>
      </x:c>
      <x:c r="N83" s="32" t="str">
        <x:f>IF(A83="","",IFERROR(MAXIFS('Item Price Log'!$K$5:$K$204,'Item Price Log'!$F$5:$F$204,A83),""))</x:f>
      </x:c>
      <x:c r="O83" s="32" t="str">
        <x:f>IF(A83="","",SUMIF('Item Price Log'!$F$5:$F$204,A83,'Item Price Log'!$L$5:$L$204))</x:f>
      </x:c>
      <x:c r="P83" s="21" t="str">
        <x:f>IF(A83="","",COUNTIF('Item Price Log'!$F$5:$F$204,A83))</x:f>
      </x:c>
      <x:c r="Q83" s="21"/>
    </x:row>
    <x:row r="84">
      <x:c r="A84" s="21"/>
      <x:c r="B84" s="21"/>
      <x:c r="C84" s="21"/>
      <x:c r="D84" s="21"/>
      <x:c r="E84" s="21"/>
      <x:c r="F84" s="30" t="str">
        <x:f>IF(A84="","",IFERROR(MINIFS('Item Price Log'!$B$5:$B$204,'Item Price Log'!$F$5:$F$204,A84),""))</x:f>
      </x:c>
      <x:c r="G84" s="30" t="str">
        <x:f>IF(A84="","",IFERROR(MAXIFS('Item Price Log'!$B$5:$B$204,'Item Price Log'!$F$5:$F$204,A84),""))</x:f>
      </x:c>
      <x:c r="H84" s="32"/>
      <x:c r="I84" s="32"/>
      <x:c r="J84" s="32"/>
      <x:c r="K84" s="36" t="str">
        <x:f>IF(OR(I84="",J84="",I84=0),"",(J84-I84)/I84)</x:f>
      </x:c>
      <x:c r="L84" s="32" t="str">
        <x:f>IF(A84="","",IFERROR(AVERAGEIF('Item Price Log'!$F$5:$F$204,A84,'Item Price Log'!$K$5:$K$204),""))</x:f>
      </x:c>
      <x:c r="M84" s="32" t="str">
        <x:f>IF(A84="","",IFERROR(MINIFS('Item Price Log'!$K$5:$K$204,'Item Price Log'!$F$5:$F$204,A84),""))</x:f>
      </x:c>
      <x:c r="N84" s="32" t="str">
        <x:f>IF(A84="","",IFERROR(MAXIFS('Item Price Log'!$K$5:$K$204,'Item Price Log'!$F$5:$F$204,A84),""))</x:f>
      </x:c>
      <x:c r="O84" s="32" t="str">
        <x:f>IF(A84="","",SUMIF('Item Price Log'!$F$5:$F$204,A84,'Item Price Log'!$L$5:$L$204))</x:f>
      </x:c>
      <x:c r="P84" s="21" t="str">
        <x:f>IF(A84="","",COUNTIF('Item Price Log'!$F$5:$F$204,A84))</x:f>
      </x:c>
      <x:c r="Q84" s="21"/>
    </x:row>
    <x:row r="85">
      <x:c r="A85" s="21"/>
      <x:c r="B85" s="21"/>
      <x:c r="C85" s="21"/>
      <x:c r="D85" s="21"/>
      <x:c r="E85" s="21"/>
      <x:c r="F85" s="30" t="str">
        <x:f>IF(A85="","",IFERROR(MINIFS('Item Price Log'!$B$5:$B$204,'Item Price Log'!$F$5:$F$204,A85),""))</x:f>
      </x:c>
      <x:c r="G85" s="30" t="str">
        <x:f>IF(A85="","",IFERROR(MAXIFS('Item Price Log'!$B$5:$B$204,'Item Price Log'!$F$5:$F$204,A85),""))</x:f>
      </x:c>
      <x:c r="H85" s="32"/>
      <x:c r="I85" s="32"/>
      <x:c r="J85" s="32"/>
      <x:c r="K85" s="36" t="str">
        <x:f>IF(OR(I85="",J85="",I85=0),"",(J85-I85)/I85)</x:f>
      </x:c>
      <x:c r="L85" s="32" t="str">
        <x:f>IF(A85="","",IFERROR(AVERAGEIF('Item Price Log'!$F$5:$F$204,A85,'Item Price Log'!$K$5:$K$204),""))</x:f>
      </x:c>
      <x:c r="M85" s="32" t="str">
        <x:f>IF(A85="","",IFERROR(MINIFS('Item Price Log'!$K$5:$K$204,'Item Price Log'!$F$5:$F$204,A85),""))</x:f>
      </x:c>
      <x:c r="N85" s="32" t="str">
        <x:f>IF(A85="","",IFERROR(MAXIFS('Item Price Log'!$K$5:$K$204,'Item Price Log'!$F$5:$F$204,A85),""))</x:f>
      </x:c>
      <x:c r="O85" s="32" t="str">
        <x:f>IF(A85="","",SUMIF('Item Price Log'!$F$5:$F$204,A85,'Item Price Log'!$L$5:$L$204))</x:f>
      </x:c>
      <x:c r="P85" s="21" t="str">
        <x:f>IF(A85="","",COUNTIF('Item Price Log'!$F$5:$F$204,A85))</x:f>
      </x:c>
      <x:c r="Q85" s="21"/>
    </x:row>
    <x:row r="86">
      <x:c r="A86" s="21"/>
      <x:c r="B86" s="21"/>
      <x:c r="C86" s="21"/>
      <x:c r="D86" s="21"/>
      <x:c r="E86" s="21"/>
      <x:c r="F86" s="30" t="str">
        <x:f>IF(A86="","",IFERROR(MINIFS('Item Price Log'!$B$5:$B$204,'Item Price Log'!$F$5:$F$204,A86),""))</x:f>
      </x:c>
      <x:c r="G86" s="30" t="str">
        <x:f>IF(A86="","",IFERROR(MAXIFS('Item Price Log'!$B$5:$B$204,'Item Price Log'!$F$5:$F$204,A86),""))</x:f>
      </x:c>
      <x:c r="H86" s="32"/>
      <x:c r="I86" s="32"/>
      <x:c r="J86" s="32"/>
      <x:c r="K86" s="36" t="str">
        <x:f>IF(OR(I86="",J86="",I86=0),"",(J86-I86)/I86)</x:f>
      </x:c>
      <x:c r="L86" s="32" t="str">
        <x:f>IF(A86="","",IFERROR(AVERAGEIF('Item Price Log'!$F$5:$F$204,A86,'Item Price Log'!$K$5:$K$204),""))</x:f>
      </x:c>
      <x:c r="M86" s="32" t="str">
        <x:f>IF(A86="","",IFERROR(MINIFS('Item Price Log'!$K$5:$K$204,'Item Price Log'!$F$5:$F$204,A86),""))</x:f>
      </x:c>
      <x:c r="N86" s="32" t="str">
        <x:f>IF(A86="","",IFERROR(MAXIFS('Item Price Log'!$K$5:$K$204,'Item Price Log'!$F$5:$F$204,A86),""))</x:f>
      </x:c>
      <x:c r="O86" s="32" t="str">
        <x:f>IF(A86="","",SUMIF('Item Price Log'!$F$5:$F$204,A86,'Item Price Log'!$L$5:$L$204))</x:f>
      </x:c>
      <x:c r="P86" s="21" t="str">
        <x:f>IF(A86="","",COUNTIF('Item Price Log'!$F$5:$F$204,A86))</x:f>
      </x:c>
      <x:c r="Q86" s="21"/>
    </x:row>
    <x:row r="87">
      <x:c r="A87" s="21"/>
      <x:c r="B87" s="21"/>
      <x:c r="C87" s="21"/>
      <x:c r="D87" s="21"/>
      <x:c r="E87" s="21"/>
      <x:c r="F87" s="30" t="str">
        <x:f>IF(A87="","",IFERROR(MINIFS('Item Price Log'!$B$5:$B$204,'Item Price Log'!$F$5:$F$204,A87),""))</x:f>
      </x:c>
      <x:c r="G87" s="30" t="str">
        <x:f>IF(A87="","",IFERROR(MAXIFS('Item Price Log'!$B$5:$B$204,'Item Price Log'!$F$5:$F$204,A87),""))</x:f>
      </x:c>
      <x:c r="H87" s="32"/>
      <x:c r="I87" s="32"/>
      <x:c r="J87" s="32"/>
      <x:c r="K87" s="36" t="str">
        <x:f>IF(OR(I87="",J87="",I87=0),"",(J87-I87)/I87)</x:f>
      </x:c>
      <x:c r="L87" s="32" t="str">
        <x:f>IF(A87="","",IFERROR(AVERAGEIF('Item Price Log'!$F$5:$F$204,A87,'Item Price Log'!$K$5:$K$204),""))</x:f>
      </x:c>
      <x:c r="M87" s="32" t="str">
        <x:f>IF(A87="","",IFERROR(MINIFS('Item Price Log'!$K$5:$K$204,'Item Price Log'!$F$5:$F$204,A87),""))</x:f>
      </x:c>
      <x:c r="N87" s="32" t="str">
        <x:f>IF(A87="","",IFERROR(MAXIFS('Item Price Log'!$K$5:$K$204,'Item Price Log'!$F$5:$F$204,A87),""))</x:f>
      </x:c>
      <x:c r="O87" s="32" t="str">
        <x:f>IF(A87="","",SUMIF('Item Price Log'!$F$5:$F$204,A87,'Item Price Log'!$L$5:$L$204))</x:f>
      </x:c>
      <x:c r="P87" s="21" t="str">
        <x:f>IF(A87="","",COUNTIF('Item Price Log'!$F$5:$F$204,A87))</x:f>
      </x:c>
      <x:c r="Q87" s="21"/>
    </x:row>
    <x:row r="88">
      <x:c r="A88" s="21"/>
      <x:c r="B88" s="21"/>
      <x:c r="C88" s="21"/>
      <x:c r="D88" s="21"/>
      <x:c r="E88" s="21"/>
      <x:c r="F88" s="30" t="str">
        <x:f>IF(A88="","",IFERROR(MINIFS('Item Price Log'!$B$5:$B$204,'Item Price Log'!$F$5:$F$204,A88),""))</x:f>
      </x:c>
      <x:c r="G88" s="30" t="str">
        <x:f>IF(A88="","",IFERROR(MAXIFS('Item Price Log'!$B$5:$B$204,'Item Price Log'!$F$5:$F$204,A88),""))</x:f>
      </x:c>
      <x:c r="H88" s="32"/>
      <x:c r="I88" s="32"/>
      <x:c r="J88" s="32"/>
      <x:c r="K88" s="36" t="str">
        <x:f>IF(OR(I88="",J88="",I88=0),"",(J88-I88)/I88)</x:f>
      </x:c>
      <x:c r="L88" s="32" t="str">
        <x:f>IF(A88="","",IFERROR(AVERAGEIF('Item Price Log'!$F$5:$F$204,A88,'Item Price Log'!$K$5:$K$204),""))</x:f>
      </x:c>
      <x:c r="M88" s="32" t="str">
        <x:f>IF(A88="","",IFERROR(MINIFS('Item Price Log'!$K$5:$K$204,'Item Price Log'!$F$5:$F$204,A88),""))</x:f>
      </x:c>
      <x:c r="N88" s="32" t="str">
        <x:f>IF(A88="","",IFERROR(MAXIFS('Item Price Log'!$K$5:$K$204,'Item Price Log'!$F$5:$F$204,A88),""))</x:f>
      </x:c>
      <x:c r="O88" s="32" t="str">
        <x:f>IF(A88="","",SUMIF('Item Price Log'!$F$5:$F$204,A88,'Item Price Log'!$L$5:$L$204))</x:f>
      </x:c>
      <x:c r="P88" s="21" t="str">
        <x:f>IF(A88="","",COUNTIF('Item Price Log'!$F$5:$F$204,A88))</x:f>
      </x:c>
      <x:c r="Q88" s="21"/>
    </x:row>
    <x:row r="89">
      <x:c r="A89" s="21"/>
      <x:c r="B89" s="21"/>
      <x:c r="C89" s="21"/>
      <x:c r="D89" s="21"/>
      <x:c r="E89" s="21"/>
      <x:c r="F89" s="30" t="str">
        <x:f>IF(A89="","",IFERROR(MINIFS('Item Price Log'!$B$5:$B$204,'Item Price Log'!$F$5:$F$204,A89),""))</x:f>
      </x:c>
      <x:c r="G89" s="30" t="str">
        <x:f>IF(A89="","",IFERROR(MAXIFS('Item Price Log'!$B$5:$B$204,'Item Price Log'!$F$5:$F$204,A89),""))</x:f>
      </x:c>
      <x:c r="H89" s="32"/>
      <x:c r="I89" s="32"/>
      <x:c r="J89" s="32"/>
      <x:c r="K89" s="36" t="str">
        <x:f>IF(OR(I89="",J89="",I89=0),"",(J89-I89)/I89)</x:f>
      </x:c>
      <x:c r="L89" s="32" t="str">
        <x:f>IF(A89="","",IFERROR(AVERAGEIF('Item Price Log'!$F$5:$F$204,A89,'Item Price Log'!$K$5:$K$204),""))</x:f>
      </x:c>
      <x:c r="M89" s="32" t="str">
        <x:f>IF(A89="","",IFERROR(MINIFS('Item Price Log'!$K$5:$K$204,'Item Price Log'!$F$5:$F$204,A89),""))</x:f>
      </x:c>
      <x:c r="N89" s="32" t="str">
        <x:f>IF(A89="","",IFERROR(MAXIFS('Item Price Log'!$K$5:$K$204,'Item Price Log'!$F$5:$F$204,A89),""))</x:f>
      </x:c>
      <x:c r="O89" s="32" t="str">
        <x:f>IF(A89="","",SUMIF('Item Price Log'!$F$5:$F$204,A89,'Item Price Log'!$L$5:$L$204))</x:f>
      </x:c>
      <x:c r="P89" s="21" t="str">
        <x:f>IF(A89="","",COUNTIF('Item Price Log'!$F$5:$F$204,A89))</x:f>
      </x:c>
      <x:c r="Q89" s="21"/>
    </x:row>
    <x:row r="90">
      <x:c r="A90" s="21"/>
      <x:c r="B90" s="21"/>
      <x:c r="C90" s="21"/>
      <x:c r="D90" s="21"/>
      <x:c r="E90" s="21"/>
      <x:c r="F90" s="30" t="str">
        <x:f>IF(A90="","",IFERROR(MINIFS('Item Price Log'!$B$5:$B$204,'Item Price Log'!$F$5:$F$204,A90),""))</x:f>
      </x:c>
      <x:c r="G90" s="30" t="str">
        <x:f>IF(A90="","",IFERROR(MAXIFS('Item Price Log'!$B$5:$B$204,'Item Price Log'!$F$5:$F$204,A90),""))</x:f>
      </x:c>
      <x:c r="H90" s="32"/>
      <x:c r="I90" s="32"/>
      <x:c r="J90" s="32"/>
      <x:c r="K90" s="36" t="str">
        <x:f>IF(OR(I90="",J90="",I90=0),"",(J90-I90)/I90)</x:f>
      </x:c>
      <x:c r="L90" s="32" t="str">
        <x:f>IF(A90="","",IFERROR(AVERAGEIF('Item Price Log'!$F$5:$F$204,A90,'Item Price Log'!$K$5:$K$204),""))</x:f>
      </x:c>
      <x:c r="M90" s="32" t="str">
        <x:f>IF(A90="","",IFERROR(MINIFS('Item Price Log'!$K$5:$K$204,'Item Price Log'!$F$5:$F$204,A90),""))</x:f>
      </x:c>
      <x:c r="N90" s="32" t="str">
        <x:f>IF(A90="","",IFERROR(MAXIFS('Item Price Log'!$K$5:$K$204,'Item Price Log'!$F$5:$F$204,A90),""))</x:f>
      </x:c>
      <x:c r="O90" s="32" t="str">
        <x:f>IF(A90="","",SUMIF('Item Price Log'!$F$5:$F$204,A90,'Item Price Log'!$L$5:$L$204))</x:f>
      </x:c>
      <x:c r="P90" s="21" t="str">
        <x:f>IF(A90="","",COUNTIF('Item Price Log'!$F$5:$F$204,A90))</x:f>
      </x:c>
      <x:c r="Q90" s="21"/>
    </x:row>
    <x:row r="91">
      <x:c r="A91" s="21"/>
      <x:c r="B91" s="21"/>
      <x:c r="C91" s="21"/>
      <x:c r="D91" s="21"/>
      <x:c r="E91" s="21"/>
      <x:c r="F91" s="30" t="str">
        <x:f>IF(A91="","",IFERROR(MINIFS('Item Price Log'!$B$5:$B$204,'Item Price Log'!$F$5:$F$204,A91),""))</x:f>
      </x:c>
      <x:c r="G91" s="30" t="str">
        <x:f>IF(A91="","",IFERROR(MAXIFS('Item Price Log'!$B$5:$B$204,'Item Price Log'!$F$5:$F$204,A91),""))</x:f>
      </x:c>
      <x:c r="H91" s="32"/>
      <x:c r="I91" s="32"/>
      <x:c r="J91" s="32"/>
      <x:c r="K91" s="36" t="str">
        <x:f>IF(OR(I91="",J91="",I91=0),"",(J91-I91)/I91)</x:f>
      </x:c>
      <x:c r="L91" s="32" t="str">
        <x:f>IF(A91="","",IFERROR(AVERAGEIF('Item Price Log'!$F$5:$F$204,A91,'Item Price Log'!$K$5:$K$204),""))</x:f>
      </x:c>
      <x:c r="M91" s="32" t="str">
        <x:f>IF(A91="","",IFERROR(MINIFS('Item Price Log'!$K$5:$K$204,'Item Price Log'!$F$5:$F$204,A91),""))</x:f>
      </x:c>
      <x:c r="N91" s="32" t="str">
        <x:f>IF(A91="","",IFERROR(MAXIFS('Item Price Log'!$K$5:$K$204,'Item Price Log'!$F$5:$F$204,A91),""))</x:f>
      </x:c>
      <x:c r="O91" s="32" t="str">
        <x:f>IF(A91="","",SUMIF('Item Price Log'!$F$5:$F$204,A91,'Item Price Log'!$L$5:$L$204))</x:f>
      </x:c>
      <x:c r="P91" s="21" t="str">
        <x:f>IF(A91="","",COUNTIF('Item Price Log'!$F$5:$F$204,A91))</x:f>
      </x:c>
      <x:c r="Q91" s="21"/>
    </x:row>
    <x:row r="92">
      <x:c r="A92" s="21"/>
      <x:c r="B92" s="21"/>
      <x:c r="C92" s="21"/>
      <x:c r="D92" s="21"/>
      <x:c r="E92" s="21"/>
      <x:c r="F92" s="30" t="str">
        <x:f>IF(A92="","",IFERROR(MINIFS('Item Price Log'!$B$5:$B$204,'Item Price Log'!$F$5:$F$204,A92),""))</x:f>
      </x:c>
      <x:c r="G92" s="30" t="str">
        <x:f>IF(A92="","",IFERROR(MAXIFS('Item Price Log'!$B$5:$B$204,'Item Price Log'!$F$5:$F$204,A92),""))</x:f>
      </x:c>
      <x:c r="H92" s="32"/>
      <x:c r="I92" s="32"/>
      <x:c r="J92" s="32"/>
      <x:c r="K92" s="36" t="str">
        <x:f>IF(OR(I92="",J92="",I92=0),"",(J92-I92)/I92)</x:f>
      </x:c>
      <x:c r="L92" s="32" t="str">
        <x:f>IF(A92="","",IFERROR(AVERAGEIF('Item Price Log'!$F$5:$F$204,A92,'Item Price Log'!$K$5:$K$204),""))</x:f>
      </x:c>
      <x:c r="M92" s="32" t="str">
        <x:f>IF(A92="","",IFERROR(MINIFS('Item Price Log'!$K$5:$K$204,'Item Price Log'!$F$5:$F$204,A92),""))</x:f>
      </x:c>
      <x:c r="N92" s="32" t="str">
        <x:f>IF(A92="","",IFERROR(MAXIFS('Item Price Log'!$K$5:$K$204,'Item Price Log'!$F$5:$F$204,A92),""))</x:f>
      </x:c>
      <x:c r="O92" s="32" t="str">
        <x:f>IF(A92="","",SUMIF('Item Price Log'!$F$5:$F$204,A92,'Item Price Log'!$L$5:$L$204))</x:f>
      </x:c>
      <x:c r="P92" s="21" t="str">
        <x:f>IF(A92="","",COUNTIF('Item Price Log'!$F$5:$F$204,A92))</x:f>
      </x:c>
      <x:c r="Q92" s="21"/>
    </x:row>
    <x:row r="93">
      <x:c r="A93" s="21"/>
      <x:c r="B93" s="21"/>
      <x:c r="C93" s="21"/>
      <x:c r="D93" s="21"/>
      <x:c r="E93" s="21"/>
      <x:c r="F93" s="30" t="str">
        <x:f>IF(A93="","",IFERROR(MINIFS('Item Price Log'!$B$5:$B$204,'Item Price Log'!$F$5:$F$204,A93),""))</x:f>
      </x:c>
      <x:c r="G93" s="30" t="str">
        <x:f>IF(A93="","",IFERROR(MAXIFS('Item Price Log'!$B$5:$B$204,'Item Price Log'!$F$5:$F$204,A93),""))</x:f>
      </x:c>
      <x:c r="H93" s="32"/>
      <x:c r="I93" s="32"/>
      <x:c r="J93" s="32"/>
      <x:c r="K93" s="36" t="str">
        <x:f>IF(OR(I93="",J93="",I93=0),"",(J93-I93)/I93)</x:f>
      </x:c>
      <x:c r="L93" s="32" t="str">
        <x:f>IF(A93="","",IFERROR(AVERAGEIF('Item Price Log'!$F$5:$F$204,A93,'Item Price Log'!$K$5:$K$204),""))</x:f>
      </x:c>
      <x:c r="M93" s="32" t="str">
        <x:f>IF(A93="","",IFERROR(MINIFS('Item Price Log'!$K$5:$K$204,'Item Price Log'!$F$5:$F$204,A93),""))</x:f>
      </x:c>
      <x:c r="N93" s="32" t="str">
        <x:f>IF(A93="","",IFERROR(MAXIFS('Item Price Log'!$K$5:$K$204,'Item Price Log'!$F$5:$F$204,A93),""))</x:f>
      </x:c>
      <x:c r="O93" s="32" t="str">
        <x:f>IF(A93="","",SUMIF('Item Price Log'!$F$5:$F$204,A93,'Item Price Log'!$L$5:$L$204))</x:f>
      </x:c>
      <x:c r="P93" s="21" t="str">
        <x:f>IF(A93="","",COUNTIF('Item Price Log'!$F$5:$F$204,A93))</x:f>
      </x:c>
      <x:c r="Q93" s="21"/>
    </x:row>
    <x:row r="94">
      <x:c r="A94" s="21"/>
      <x:c r="B94" s="21"/>
      <x:c r="C94" s="21"/>
      <x:c r="D94" s="21"/>
      <x:c r="E94" s="21"/>
      <x:c r="F94" s="30" t="str">
        <x:f>IF(A94="","",IFERROR(MINIFS('Item Price Log'!$B$5:$B$204,'Item Price Log'!$F$5:$F$204,A94),""))</x:f>
      </x:c>
      <x:c r="G94" s="30" t="str">
        <x:f>IF(A94="","",IFERROR(MAXIFS('Item Price Log'!$B$5:$B$204,'Item Price Log'!$F$5:$F$204,A94),""))</x:f>
      </x:c>
      <x:c r="H94" s="32"/>
      <x:c r="I94" s="32"/>
      <x:c r="J94" s="32"/>
      <x:c r="K94" s="36" t="str">
        <x:f>IF(OR(I94="",J94="",I94=0),"",(J94-I94)/I94)</x:f>
      </x:c>
      <x:c r="L94" s="32" t="str">
        <x:f>IF(A94="","",IFERROR(AVERAGEIF('Item Price Log'!$F$5:$F$204,A94,'Item Price Log'!$K$5:$K$204),""))</x:f>
      </x:c>
      <x:c r="M94" s="32" t="str">
        <x:f>IF(A94="","",IFERROR(MINIFS('Item Price Log'!$K$5:$K$204,'Item Price Log'!$F$5:$F$204,A94),""))</x:f>
      </x:c>
      <x:c r="N94" s="32" t="str">
        <x:f>IF(A94="","",IFERROR(MAXIFS('Item Price Log'!$K$5:$K$204,'Item Price Log'!$F$5:$F$204,A94),""))</x:f>
      </x:c>
      <x:c r="O94" s="32" t="str">
        <x:f>IF(A94="","",SUMIF('Item Price Log'!$F$5:$F$204,A94,'Item Price Log'!$L$5:$L$204))</x:f>
      </x:c>
      <x:c r="P94" s="21" t="str">
        <x:f>IF(A94="","",COUNTIF('Item Price Log'!$F$5:$F$204,A94))</x:f>
      </x:c>
      <x:c r="Q94" s="21"/>
    </x:row>
    <x:row r="95">
      <x:c r="A95" s="21"/>
      <x:c r="B95" s="21"/>
      <x:c r="C95" s="21"/>
      <x:c r="D95" s="21"/>
      <x:c r="E95" s="21"/>
      <x:c r="F95" s="30" t="str">
        <x:f>IF(A95="","",IFERROR(MINIFS('Item Price Log'!$B$5:$B$204,'Item Price Log'!$F$5:$F$204,A95),""))</x:f>
      </x:c>
      <x:c r="G95" s="30" t="str">
        <x:f>IF(A95="","",IFERROR(MAXIFS('Item Price Log'!$B$5:$B$204,'Item Price Log'!$F$5:$F$204,A95),""))</x:f>
      </x:c>
      <x:c r="H95" s="32"/>
      <x:c r="I95" s="32"/>
      <x:c r="J95" s="32"/>
      <x:c r="K95" s="36" t="str">
        <x:f>IF(OR(I95="",J95="",I95=0),"",(J95-I95)/I95)</x:f>
      </x:c>
      <x:c r="L95" s="32" t="str">
        <x:f>IF(A95="","",IFERROR(AVERAGEIF('Item Price Log'!$F$5:$F$204,A95,'Item Price Log'!$K$5:$K$204),""))</x:f>
      </x:c>
      <x:c r="M95" s="32" t="str">
        <x:f>IF(A95="","",IFERROR(MINIFS('Item Price Log'!$K$5:$K$204,'Item Price Log'!$F$5:$F$204,A95),""))</x:f>
      </x:c>
      <x:c r="N95" s="32" t="str">
        <x:f>IF(A95="","",IFERROR(MAXIFS('Item Price Log'!$K$5:$K$204,'Item Price Log'!$F$5:$F$204,A95),""))</x:f>
      </x:c>
      <x:c r="O95" s="32" t="str">
        <x:f>IF(A95="","",SUMIF('Item Price Log'!$F$5:$F$204,A95,'Item Price Log'!$L$5:$L$204))</x:f>
      </x:c>
      <x:c r="P95" s="21" t="str">
        <x:f>IF(A95="","",COUNTIF('Item Price Log'!$F$5:$F$204,A95))</x:f>
      </x:c>
      <x:c r="Q95" s="21"/>
    </x:row>
    <x:row r="96">
      <x:c r="A96" s="21"/>
      <x:c r="B96" s="21"/>
      <x:c r="C96" s="21"/>
      <x:c r="D96" s="21"/>
      <x:c r="E96" s="21"/>
      <x:c r="F96" s="30" t="str">
        <x:f>IF(A96="","",IFERROR(MINIFS('Item Price Log'!$B$5:$B$204,'Item Price Log'!$F$5:$F$204,A96),""))</x:f>
      </x:c>
      <x:c r="G96" s="30" t="str">
        <x:f>IF(A96="","",IFERROR(MAXIFS('Item Price Log'!$B$5:$B$204,'Item Price Log'!$F$5:$F$204,A96),""))</x:f>
      </x:c>
      <x:c r="H96" s="32"/>
      <x:c r="I96" s="32"/>
      <x:c r="J96" s="32"/>
      <x:c r="K96" s="36" t="str">
        <x:f>IF(OR(I96="",J96="",I96=0),"",(J96-I96)/I96)</x:f>
      </x:c>
      <x:c r="L96" s="32" t="str">
        <x:f>IF(A96="","",IFERROR(AVERAGEIF('Item Price Log'!$F$5:$F$204,A96,'Item Price Log'!$K$5:$K$204),""))</x:f>
      </x:c>
      <x:c r="M96" s="32" t="str">
        <x:f>IF(A96="","",IFERROR(MINIFS('Item Price Log'!$K$5:$K$204,'Item Price Log'!$F$5:$F$204,A96),""))</x:f>
      </x:c>
      <x:c r="N96" s="32" t="str">
        <x:f>IF(A96="","",IFERROR(MAXIFS('Item Price Log'!$K$5:$K$204,'Item Price Log'!$F$5:$F$204,A96),""))</x:f>
      </x:c>
      <x:c r="O96" s="32" t="str">
        <x:f>IF(A96="","",SUMIF('Item Price Log'!$F$5:$F$204,A96,'Item Price Log'!$L$5:$L$204))</x:f>
      </x:c>
      <x:c r="P96" s="21" t="str">
        <x:f>IF(A96="","",COUNTIF('Item Price Log'!$F$5:$F$204,A96))</x:f>
      </x:c>
      <x:c r="Q96" s="21"/>
    </x:row>
    <x:row r="97">
      <x:c r="A97" s="21"/>
      <x:c r="B97" s="21"/>
      <x:c r="C97" s="21"/>
      <x:c r="D97" s="21"/>
      <x:c r="E97" s="21"/>
      <x:c r="F97" s="30" t="str">
        <x:f>IF(A97="","",IFERROR(MINIFS('Item Price Log'!$B$5:$B$204,'Item Price Log'!$F$5:$F$204,A97),""))</x:f>
      </x:c>
      <x:c r="G97" s="30" t="str">
        <x:f>IF(A97="","",IFERROR(MAXIFS('Item Price Log'!$B$5:$B$204,'Item Price Log'!$F$5:$F$204,A97),""))</x:f>
      </x:c>
      <x:c r="H97" s="32"/>
      <x:c r="I97" s="32"/>
      <x:c r="J97" s="32"/>
      <x:c r="K97" s="36" t="str">
        <x:f>IF(OR(I97="",J97="",I97=0),"",(J97-I97)/I97)</x:f>
      </x:c>
      <x:c r="L97" s="32" t="str">
        <x:f>IF(A97="","",IFERROR(AVERAGEIF('Item Price Log'!$F$5:$F$204,A97,'Item Price Log'!$K$5:$K$204),""))</x:f>
      </x:c>
      <x:c r="M97" s="32" t="str">
        <x:f>IF(A97="","",IFERROR(MINIFS('Item Price Log'!$K$5:$K$204,'Item Price Log'!$F$5:$F$204,A97),""))</x:f>
      </x:c>
      <x:c r="N97" s="32" t="str">
        <x:f>IF(A97="","",IFERROR(MAXIFS('Item Price Log'!$K$5:$K$204,'Item Price Log'!$F$5:$F$204,A97),""))</x:f>
      </x:c>
      <x:c r="O97" s="32" t="str">
        <x:f>IF(A97="","",SUMIF('Item Price Log'!$F$5:$F$204,A97,'Item Price Log'!$L$5:$L$204))</x:f>
      </x:c>
      <x:c r="P97" s="21" t="str">
        <x:f>IF(A97="","",COUNTIF('Item Price Log'!$F$5:$F$204,A97))</x:f>
      </x:c>
      <x:c r="Q97" s="21"/>
    </x:row>
    <x:row r="98">
      <x:c r="A98" s="21"/>
      <x:c r="B98" s="21"/>
      <x:c r="C98" s="21"/>
      <x:c r="D98" s="21"/>
      <x:c r="E98" s="21"/>
      <x:c r="F98" s="30" t="str">
        <x:f>IF(A98="","",IFERROR(MINIFS('Item Price Log'!$B$5:$B$204,'Item Price Log'!$F$5:$F$204,A98),""))</x:f>
      </x:c>
      <x:c r="G98" s="30" t="str">
        <x:f>IF(A98="","",IFERROR(MAXIFS('Item Price Log'!$B$5:$B$204,'Item Price Log'!$F$5:$F$204,A98),""))</x:f>
      </x:c>
      <x:c r="H98" s="32"/>
      <x:c r="I98" s="32"/>
      <x:c r="J98" s="32"/>
      <x:c r="K98" s="36" t="str">
        <x:f>IF(OR(I98="",J98="",I98=0),"",(J98-I98)/I98)</x:f>
      </x:c>
      <x:c r="L98" s="32" t="str">
        <x:f>IF(A98="","",IFERROR(AVERAGEIF('Item Price Log'!$F$5:$F$204,A98,'Item Price Log'!$K$5:$K$204),""))</x:f>
      </x:c>
      <x:c r="M98" s="32" t="str">
        <x:f>IF(A98="","",IFERROR(MINIFS('Item Price Log'!$K$5:$K$204,'Item Price Log'!$F$5:$F$204,A98),""))</x:f>
      </x:c>
      <x:c r="N98" s="32" t="str">
        <x:f>IF(A98="","",IFERROR(MAXIFS('Item Price Log'!$K$5:$K$204,'Item Price Log'!$F$5:$F$204,A98),""))</x:f>
      </x:c>
      <x:c r="O98" s="32" t="str">
        <x:f>IF(A98="","",SUMIF('Item Price Log'!$F$5:$F$204,A98,'Item Price Log'!$L$5:$L$204))</x:f>
      </x:c>
      <x:c r="P98" s="21" t="str">
        <x:f>IF(A98="","",COUNTIF('Item Price Log'!$F$5:$F$204,A98))</x:f>
      </x:c>
      <x:c r="Q98" s="21"/>
    </x:row>
    <x:row r="99">
      <x:c r="A99" s="21"/>
      <x:c r="B99" s="21"/>
      <x:c r="C99" s="21"/>
      <x:c r="D99" s="21"/>
      <x:c r="E99" s="21"/>
      <x:c r="F99" s="30" t="str">
        <x:f>IF(A99="","",IFERROR(MINIFS('Item Price Log'!$B$5:$B$204,'Item Price Log'!$F$5:$F$204,A99),""))</x:f>
      </x:c>
      <x:c r="G99" s="30" t="str">
        <x:f>IF(A99="","",IFERROR(MAXIFS('Item Price Log'!$B$5:$B$204,'Item Price Log'!$F$5:$F$204,A99),""))</x:f>
      </x:c>
      <x:c r="H99" s="32"/>
      <x:c r="I99" s="32"/>
      <x:c r="J99" s="32"/>
      <x:c r="K99" s="36" t="str">
        <x:f>IF(OR(I99="",J99="",I99=0),"",(J99-I99)/I99)</x:f>
      </x:c>
      <x:c r="L99" s="32" t="str">
        <x:f>IF(A99="","",IFERROR(AVERAGEIF('Item Price Log'!$F$5:$F$204,A99,'Item Price Log'!$K$5:$K$204),""))</x:f>
      </x:c>
      <x:c r="M99" s="32" t="str">
        <x:f>IF(A99="","",IFERROR(MINIFS('Item Price Log'!$K$5:$K$204,'Item Price Log'!$F$5:$F$204,A99),""))</x:f>
      </x:c>
      <x:c r="N99" s="32" t="str">
        <x:f>IF(A99="","",IFERROR(MAXIFS('Item Price Log'!$K$5:$K$204,'Item Price Log'!$F$5:$F$204,A99),""))</x:f>
      </x:c>
      <x:c r="O99" s="32" t="str">
        <x:f>IF(A99="","",SUMIF('Item Price Log'!$F$5:$F$204,A99,'Item Price Log'!$L$5:$L$204))</x:f>
      </x:c>
      <x:c r="P99" s="21" t="str">
        <x:f>IF(A99="","",COUNTIF('Item Price Log'!$F$5:$F$204,A99))</x:f>
      </x:c>
      <x:c r="Q99" s="21"/>
    </x:row>
    <x:row r="100">
      <x:c r="A100" s="21"/>
      <x:c r="B100" s="21"/>
      <x:c r="C100" s="21"/>
      <x:c r="D100" s="21"/>
      <x:c r="E100" s="21"/>
      <x:c r="F100" s="30" t="str">
        <x:f>IF(A100="","",IFERROR(MINIFS('Item Price Log'!$B$5:$B$204,'Item Price Log'!$F$5:$F$204,A100),""))</x:f>
      </x:c>
      <x:c r="G100" s="30" t="str">
        <x:f>IF(A100="","",IFERROR(MAXIFS('Item Price Log'!$B$5:$B$204,'Item Price Log'!$F$5:$F$204,A100),""))</x:f>
      </x:c>
      <x:c r="H100" s="32"/>
      <x:c r="I100" s="32"/>
      <x:c r="J100" s="32"/>
      <x:c r="K100" s="36" t="str">
        <x:f>IF(OR(I100="",J100="",I100=0),"",(J100-I100)/I100)</x:f>
      </x:c>
      <x:c r="L100" s="32" t="str">
        <x:f>IF(A100="","",IFERROR(AVERAGEIF('Item Price Log'!$F$5:$F$204,A100,'Item Price Log'!$K$5:$K$204),""))</x:f>
      </x:c>
      <x:c r="M100" s="32" t="str">
        <x:f>IF(A100="","",IFERROR(MINIFS('Item Price Log'!$K$5:$K$204,'Item Price Log'!$F$5:$F$204,A100),""))</x:f>
      </x:c>
      <x:c r="N100" s="32" t="str">
        <x:f>IF(A100="","",IFERROR(MAXIFS('Item Price Log'!$K$5:$K$204,'Item Price Log'!$F$5:$F$204,A100),""))</x:f>
      </x:c>
      <x:c r="O100" s="32" t="str">
        <x:f>IF(A100="","",SUMIF('Item Price Log'!$F$5:$F$204,A100,'Item Price Log'!$L$5:$L$204))</x:f>
      </x:c>
      <x:c r="P100" s="21" t="str">
        <x:f>IF(A100="","",COUNTIF('Item Price Log'!$F$5:$F$204,A100))</x:f>
      </x:c>
      <x:c r="Q100" s="21"/>
    </x:row>
    <x:row r="101">
      <x:c r="A101" s="21"/>
      <x:c r="B101" s="21"/>
      <x:c r="C101" s="21"/>
      <x:c r="D101" s="21"/>
      <x:c r="E101" s="21"/>
      <x:c r="F101" s="30" t="str">
        <x:f>IF(A101="","",IFERROR(MINIFS('Item Price Log'!$B$5:$B$204,'Item Price Log'!$F$5:$F$204,A101),""))</x:f>
      </x:c>
      <x:c r="G101" s="30" t="str">
        <x:f>IF(A101="","",IFERROR(MAXIFS('Item Price Log'!$B$5:$B$204,'Item Price Log'!$F$5:$F$204,A101),""))</x:f>
      </x:c>
      <x:c r="H101" s="32"/>
      <x:c r="I101" s="32"/>
      <x:c r="J101" s="32"/>
      <x:c r="K101" s="36" t="str">
        <x:f>IF(OR(I101="",J101="",I101=0),"",(J101-I101)/I101)</x:f>
      </x:c>
      <x:c r="L101" s="32" t="str">
        <x:f>IF(A101="","",IFERROR(AVERAGEIF('Item Price Log'!$F$5:$F$204,A101,'Item Price Log'!$K$5:$K$204),""))</x:f>
      </x:c>
      <x:c r="M101" s="32" t="str">
        <x:f>IF(A101="","",IFERROR(MINIFS('Item Price Log'!$K$5:$K$204,'Item Price Log'!$F$5:$F$204,A101),""))</x:f>
      </x:c>
      <x:c r="N101" s="32" t="str">
        <x:f>IF(A101="","",IFERROR(MAXIFS('Item Price Log'!$K$5:$K$204,'Item Price Log'!$F$5:$F$204,A101),""))</x:f>
      </x:c>
      <x:c r="O101" s="32" t="str">
        <x:f>IF(A101="","",SUMIF('Item Price Log'!$F$5:$F$204,A101,'Item Price Log'!$L$5:$L$204))</x:f>
      </x:c>
      <x:c r="P101" s="21" t="str">
        <x:f>IF(A101="","",COUNTIF('Item Price Log'!$F$5:$F$204,A101))</x:f>
      </x:c>
      <x:c r="Q101" s="21"/>
    </x:row>
    <x:row r="102">
      <x:c r="A102" s="21"/>
      <x:c r="B102" s="21"/>
      <x:c r="C102" s="21"/>
      <x:c r="D102" s="21"/>
      <x:c r="E102" s="21"/>
      <x:c r="F102" s="30" t="str">
        <x:f>IF(A102="","",IFERROR(MINIFS('Item Price Log'!$B$5:$B$204,'Item Price Log'!$F$5:$F$204,A102),""))</x:f>
      </x:c>
      <x:c r="G102" s="30" t="str">
        <x:f>IF(A102="","",IFERROR(MAXIFS('Item Price Log'!$B$5:$B$204,'Item Price Log'!$F$5:$F$204,A102),""))</x:f>
      </x:c>
      <x:c r="H102" s="32"/>
      <x:c r="I102" s="32"/>
      <x:c r="J102" s="32"/>
      <x:c r="K102" s="36" t="str">
        <x:f>IF(OR(I102="",J102="",I102=0),"",(J102-I102)/I102)</x:f>
      </x:c>
      <x:c r="L102" s="32" t="str">
        <x:f>IF(A102="","",IFERROR(AVERAGEIF('Item Price Log'!$F$5:$F$204,A102,'Item Price Log'!$K$5:$K$204),""))</x:f>
      </x:c>
      <x:c r="M102" s="32" t="str">
        <x:f>IF(A102="","",IFERROR(MINIFS('Item Price Log'!$K$5:$K$204,'Item Price Log'!$F$5:$F$204,A102),""))</x:f>
      </x:c>
      <x:c r="N102" s="32" t="str">
        <x:f>IF(A102="","",IFERROR(MAXIFS('Item Price Log'!$K$5:$K$204,'Item Price Log'!$F$5:$F$204,A102),""))</x:f>
      </x:c>
      <x:c r="O102" s="32" t="str">
        <x:f>IF(A102="","",SUMIF('Item Price Log'!$F$5:$F$204,A102,'Item Price Log'!$L$5:$L$204))</x:f>
      </x:c>
      <x:c r="P102" s="21" t="str">
        <x:f>IF(A102="","",COUNTIF('Item Price Log'!$F$5:$F$204,A102))</x:f>
      </x:c>
      <x:c r="Q102" s="21"/>
    </x:row>
    <x:row r="103">
      <x:c r="A103" s="21"/>
      <x:c r="B103" s="21"/>
      <x:c r="C103" s="21"/>
      <x:c r="D103" s="21"/>
      <x:c r="E103" s="21"/>
      <x:c r="F103" s="30" t="str">
        <x:f>IF(A103="","",IFERROR(MINIFS('Item Price Log'!$B$5:$B$204,'Item Price Log'!$F$5:$F$204,A103),""))</x:f>
      </x:c>
      <x:c r="G103" s="30" t="str">
        <x:f>IF(A103="","",IFERROR(MAXIFS('Item Price Log'!$B$5:$B$204,'Item Price Log'!$F$5:$F$204,A103),""))</x:f>
      </x:c>
      <x:c r="H103" s="32"/>
      <x:c r="I103" s="32"/>
      <x:c r="J103" s="32"/>
      <x:c r="K103" s="36" t="str">
        <x:f>IF(OR(I103="",J103="",I103=0),"",(J103-I103)/I103)</x:f>
      </x:c>
      <x:c r="L103" s="32" t="str">
        <x:f>IF(A103="","",IFERROR(AVERAGEIF('Item Price Log'!$F$5:$F$204,A103,'Item Price Log'!$K$5:$K$204),""))</x:f>
      </x:c>
      <x:c r="M103" s="32" t="str">
        <x:f>IF(A103="","",IFERROR(MINIFS('Item Price Log'!$K$5:$K$204,'Item Price Log'!$F$5:$F$204,A103),""))</x:f>
      </x:c>
      <x:c r="N103" s="32" t="str">
        <x:f>IF(A103="","",IFERROR(MAXIFS('Item Price Log'!$K$5:$K$204,'Item Price Log'!$F$5:$F$204,A103),""))</x:f>
      </x:c>
      <x:c r="O103" s="32" t="str">
        <x:f>IF(A103="","",SUMIF('Item Price Log'!$F$5:$F$204,A103,'Item Price Log'!$L$5:$L$204))</x:f>
      </x:c>
      <x:c r="P103" s="21" t="str">
        <x:f>IF(A103="","",COUNTIF('Item Price Log'!$F$5:$F$204,A103))</x:f>
      </x:c>
      <x:c r="Q103" s="21"/>
    </x:row>
    <x:row r="104">
      <x:c r="A104" s="21"/>
      <x:c r="B104" s="21"/>
      <x:c r="C104" s="21"/>
      <x:c r="D104" s="21"/>
      <x:c r="E104" s="21"/>
      <x:c r="F104" s="30" t="str">
        <x:f>IF(A104="","",IFERROR(MINIFS('Item Price Log'!$B$5:$B$204,'Item Price Log'!$F$5:$F$204,A104),""))</x:f>
      </x:c>
      <x:c r="G104" s="30" t="str">
        <x:f>IF(A104="","",IFERROR(MAXIFS('Item Price Log'!$B$5:$B$204,'Item Price Log'!$F$5:$F$204,A104),""))</x:f>
      </x:c>
      <x:c r="H104" s="32"/>
      <x:c r="I104" s="32"/>
      <x:c r="J104" s="32"/>
      <x:c r="K104" s="36" t="str">
        <x:f>IF(OR(I104="",J104="",I104=0),"",(J104-I104)/I104)</x:f>
      </x:c>
      <x:c r="L104" s="32" t="str">
        <x:f>IF(A104="","",IFERROR(AVERAGEIF('Item Price Log'!$F$5:$F$204,A104,'Item Price Log'!$K$5:$K$204),""))</x:f>
      </x:c>
      <x:c r="M104" s="32" t="str">
        <x:f>IF(A104="","",IFERROR(MINIFS('Item Price Log'!$K$5:$K$204,'Item Price Log'!$F$5:$F$204,A104),""))</x:f>
      </x:c>
      <x:c r="N104" s="32" t="str">
        <x:f>IF(A104="","",IFERROR(MAXIFS('Item Price Log'!$K$5:$K$204,'Item Price Log'!$F$5:$F$204,A104),""))</x:f>
      </x:c>
      <x:c r="O104" s="32" t="str">
        <x:f>IF(A104="","",SUMIF('Item Price Log'!$F$5:$F$204,A104,'Item Price Log'!$L$5:$L$204))</x:f>
      </x:c>
      <x:c r="P104" s="21" t="str">
        <x:f>IF(A104="","",COUNTIF('Item Price Log'!$F$5:$F$204,A104))</x:f>
      </x:c>
      <x:c r="Q104" s="21"/>
    </x:row>
  </x:sheetData>
  <x:mergeCells>
    <x:mergeCell ref="A1:Q2"/>
  </x:mergeCells>
  <x:conditionalFormatting sqref="Q5:Q104">
    <x:cfRule type="expression" dxfId="2" priority="1">
      <x:formula>Q5="New Item - Review Required"</x:formula>
    </x:cfRule>
  </x:conditionalFormatting>
  <x:dataValidations count="2">
    <x:dataValidation type="list" sqref="E5:E104">
      <x:formula1>Settings!$D$5:$D$13</x:formula1>
    </x:dataValidation>
    <x:dataValidation type="list" sqref="Q5:Q104">
      <x:formula1>"Approved,New Item - Review Required,Inactive,Review"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1" hidden="0" customWidth="1"/>
    <x:col min="4" max="4" width="14" hidden="0" customWidth="1"/>
    <x:col min="5" max="5" width="12" hidden="0" customWidth="1"/>
    <x:col min="6" max="6" width="12" hidden="0" customWidth="1"/>
    <x:col min="7" max="7" width="16" hidden="0" customWidth="1"/>
    <x:col min="8" max="8" width="14" hidden="0" customWidth="1"/>
    <x:col min="9" max="9" width="16" hidden="0" customWidth="1"/>
    <x:col min="10" max="10" width="16" hidden="0" customWidth="1"/>
    <x:col min="11" max="11" width="18" hidden="0" customWidth="1"/>
    <x:col min="12" max="12" width="20" hidden="0" customWidth="1"/>
    <x:col min="13" max="13" width="18" hidden="0" customWidth="1"/>
    <x:col min="14" max="14" width="18" hidden="0" customWidth="1"/>
    <x:col min="15" max="15" width="14" hidden="0" customWidth="1"/>
    <x:col min="16" max="16" width="13" hidden="0" customWidth="1"/>
    <x:col min="17" max="17" width="17" hidden="0" customWidth="1"/>
    <x:col min="18" max="18" width="36" hidden="0" customWidth="1"/>
  </x:cols>
  <x:sheetData>
    <x:row r="1">
      <x:c r="A1" s="4" t="str">
        <x:v>Sales Summary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</x:row>
    <x:row r="4">
      <x:c r="A4" s="15" t="str">
        <x:v>Period Start</x:v>
      </x:c>
      <x:c r="B4" s="15" t="str">
        <x:v>Period End</x:v>
      </x:c>
      <x:c r="C4" s="15" t="str">
        <x:v>Month</x:v>
      </x:c>
      <x:c r="D4" s="15" t="str">
        <x:v>Gross Sales</x:v>
      </x:c>
      <x:c r="E4" s="15" t="str">
        <x:v>Discounts</x:v>
      </x:c>
      <x:c r="F4" s="15" t="str">
        <x:v>Refunds</x:v>
      </x:c>
      <x:c r="G4" s="15" t="str">
        <x:v>Sales Tax Collected</x:v>
      </x:c>
      <x:c r="H4" s="15" t="str">
        <x:v>Net Sales</x:v>
      </x:c>
      <x:c r="I4" s="15" t="str">
        <x:v>Approved Purchases</x:v>
      </x:c>
      <x:c r="J4" s="15" t="str">
        <x:v>Purchases % of Sales</x:v>
      </x:c>
      <x:c r="K4" s="15" t="str">
        <x:v>Sales Minus Purchases</x:v>
      </x:c>
      <x:c r="L4" s="15" t="str">
        <x:v>Estimated Purchase Margin</x:v>
      </x:c>
      <x:c r="M4" s="15" t="str">
        <x:v>Opening Inventory Value</x:v>
      </x:c>
      <x:c r="N4" s="15" t="str">
        <x:v>Closing Inventory Value</x:v>
      </x:c>
      <x:c r="O4" s="15" t="str">
        <x:v>COGS</x:v>
      </x:c>
      <x:c r="P4" s="15" t="str">
        <x:v>Food Cost %</x:v>
      </x:c>
      <x:c r="Q4" s="15" t="str">
        <x:v>Gross Food Margin</x:v>
      </x:c>
      <x:c r="R4" s="15" t="str">
        <x:v>Notes</x:v>
      </x:c>
    </x:row>
    <x:row r="5">
      <x:c r="A5" s="30"/>
      <x:c r="B5" s="30"/>
      <x:c r="C5" s="21" t="str">
        <x:f>IF(A5="","",TEXT(A5,"yyyy-mm"))</x:f>
      </x:c>
      <x:c r="D5" s="32"/>
      <x:c r="E5" s="32"/>
      <x:c r="F5" s="32"/>
      <x:c r="G5" s="32"/>
      <x:c r="H5" s="32" t="str">
        <x:f>IF(D5="","",D5-E5-F5-G5)</x:f>
      </x:c>
      <x:c r="I5" s="32" t="str">
        <x:f>IF(OR(A5="",B5=""),"",SUMIFS('Invoice Log'!$J$5:$J$104,'Invoice Log'!$B$5:$B$104,"&gt;="&amp;A5,'Invoice Log'!$B$5:$B$104,"&lt;="&amp;B5,'Invoice Log'!$K$5:$K$104,"Yes"))</x:f>
      </x:c>
      <x:c r="J5" s="36" t="str">
        <x:f>IFERROR(I5/H5,"")</x:f>
      </x:c>
      <x:c r="K5" s="32" t="str">
        <x:f>IF(H5="","",H5-I5)</x:f>
      </x:c>
      <x:c r="L5" s="32" t="str">
        <x:f>IFERROR(K5/H5,"")</x:f>
      </x:c>
      <x:c r="M5" s="32"/>
      <x:c r="N5" s="32"/>
      <x:c r="O5" s="32" t="str">
        <x:f>IF(OR(M5="",N5=""),"",M5+I5-N5)</x:f>
      </x:c>
      <x:c r="P5" s="36" t="str">
        <x:f>IFERROR(O5/H5,"")</x:f>
      </x:c>
      <x:c r="Q5" s="36" t="str">
        <x:f>IFERROR((H5-O5)/H5,"")</x:f>
      </x:c>
      <x:c r="R5" s="21"/>
    </x:row>
    <x:row r="6">
      <x:c r="A6" s="30"/>
      <x:c r="B6" s="30"/>
      <x:c r="C6" s="21" t="str">
        <x:f>IF(A6="","",TEXT(A6,"yyyy-mm"))</x:f>
      </x:c>
      <x:c r="D6" s="32"/>
      <x:c r="E6" s="32"/>
      <x:c r="F6" s="32"/>
      <x:c r="G6" s="32"/>
      <x:c r="H6" s="32" t="str">
        <x:f>IF(D6="","",D6-E6-F6-G6)</x:f>
      </x:c>
      <x:c r="I6" s="32" t="str">
        <x:f>IF(OR(A6="",B6=""),"",SUMIFS('Invoice Log'!$J$5:$J$104,'Invoice Log'!$B$5:$B$104,"&gt;="&amp;A6,'Invoice Log'!$B$5:$B$104,"&lt;="&amp;B6,'Invoice Log'!$K$5:$K$104,"Yes"))</x:f>
      </x:c>
      <x:c r="J6" s="36" t="str">
        <x:f>IFERROR(I6/H6,"")</x:f>
      </x:c>
      <x:c r="K6" s="32" t="str">
        <x:f>IF(H6="","",H6-I6)</x:f>
      </x:c>
      <x:c r="L6" s="32" t="str">
        <x:f>IFERROR(K6/H6,"")</x:f>
      </x:c>
      <x:c r="M6" s="32"/>
      <x:c r="N6" s="32"/>
      <x:c r="O6" s="32" t="str">
        <x:f>IF(OR(M6="",N6=""),"",M6+I6-N6)</x:f>
      </x:c>
      <x:c r="P6" s="36" t="str">
        <x:f>IFERROR(O6/H6,"")</x:f>
      </x:c>
      <x:c r="Q6" s="36" t="str">
        <x:f>IFERROR((H6-O6)/H6,"")</x:f>
      </x:c>
      <x:c r="R6" s="21"/>
    </x:row>
    <x:row r="7">
      <x:c r="A7" s="30"/>
      <x:c r="B7" s="30"/>
      <x:c r="C7" s="21" t="str">
        <x:f>IF(A7="","",TEXT(A7,"yyyy-mm"))</x:f>
      </x:c>
      <x:c r="D7" s="32"/>
      <x:c r="E7" s="32"/>
      <x:c r="F7" s="32"/>
      <x:c r="G7" s="32"/>
      <x:c r="H7" s="32" t="str">
        <x:f>IF(D7="","",D7-E7-F7-G7)</x:f>
      </x:c>
      <x:c r="I7" s="32" t="str">
        <x:f>IF(OR(A7="",B7=""),"",SUMIFS('Invoice Log'!$J$5:$J$104,'Invoice Log'!$B$5:$B$104,"&gt;="&amp;A7,'Invoice Log'!$B$5:$B$104,"&lt;="&amp;B7,'Invoice Log'!$K$5:$K$104,"Yes"))</x:f>
      </x:c>
      <x:c r="J7" s="36" t="str">
        <x:f>IFERROR(I7/H7,"")</x:f>
      </x:c>
      <x:c r="K7" s="32" t="str">
        <x:f>IF(H7="","",H7-I7)</x:f>
      </x:c>
      <x:c r="L7" s="32" t="str">
        <x:f>IFERROR(K7/H7,"")</x:f>
      </x:c>
      <x:c r="M7" s="32"/>
      <x:c r="N7" s="32"/>
      <x:c r="O7" s="32" t="str">
        <x:f>IF(OR(M7="",N7=""),"",M7+I7-N7)</x:f>
      </x:c>
      <x:c r="P7" s="36" t="str">
        <x:f>IFERROR(O7/H7,"")</x:f>
      </x:c>
      <x:c r="Q7" s="36" t="str">
        <x:f>IFERROR((H7-O7)/H7,"")</x:f>
      </x:c>
      <x:c r="R7" s="21"/>
    </x:row>
    <x:row r="8">
      <x:c r="A8" s="30"/>
      <x:c r="B8" s="30"/>
      <x:c r="C8" s="21" t="str">
        <x:f>IF(A8="","",TEXT(A8,"yyyy-mm"))</x:f>
      </x:c>
      <x:c r="D8" s="32"/>
      <x:c r="E8" s="32"/>
      <x:c r="F8" s="32"/>
      <x:c r="G8" s="32"/>
      <x:c r="H8" s="32" t="str">
        <x:f>IF(D8="","",D8-E8-F8-G8)</x:f>
      </x:c>
      <x:c r="I8" s="32" t="str">
        <x:f>IF(OR(A8="",B8=""),"",SUMIFS('Invoice Log'!$J$5:$J$104,'Invoice Log'!$B$5:$B$104,"&gt;="&amp;A8,'Invoice Log'!$B$5:$B$104,"&lt;="&amp;B8,'Invoice Log'!$K$5:$K$104,"Yes"))</x:f>
      </x:c>
      <x:c r="J8" s="36" t="str">
        <x:f>IFERROR(I8/H8,"")</x:f>
      </x:c>
      <x:c r="K8" s="32" t="str">
        <x:f>IF(H8="","",H8-I8)</x:f>
      </x:c>
      <x:c r="L8" s="32" t="str">
        <x:f>IFERROR(K8/H8,"")</x:f>
      </x:c>
      <x:c r="M8" s="32"/>
      <x:c r="N8" s="32"/>
      <x:c r="O8" s="32" t="str">
        <x:f>IF(OR(M8="",N8=""),"",M8+I8-N8)</x:f>
      </x:c>
      <x:c r="P8" s="36" t="str">
        <x:f>IFERROR(O8/H8,"")</x:f>
      </x:c>
      <x:c r="Q8" s="36" t="str">
        <x:f>IFERROR((H8-O8)/H8,"")</x:f>
      </x:c>
      <x:c r="R8" s="21"/>
    </x:row>
    <x:row r="9">
      <x:c r="A9" s="30"/>
      <x:c r="B9" s="30"/>
      <x:c r="C9" s="21" t="str">
        <x:f>IF(A9="","",TEXT(A9,"yyyy-mm"))</x:f>
      </x:c>
      <x:c r="D9" s="32"/>
      <x:c r="E9" s="32"/>
      <x:c r="F9" s="32"/>
      <x:c r="G9" s="32"/>
      <x:c r="H9" s="32" t="str">
        <x:f>IF(D9="","",D9-E9-F9-G9)</x:f>
      </x:c>
      <x:c r="I9" s="32" t="str">
        <x:f>IF(OR(A9="",B9=""),"",SUMIFS('Invoice Log'!$J$5:$J$104,'Invoice Log'!$B$5:$B$104,"&gt;="&amp;A9,'Invoice Log'!$B$5:$B$104,"&lt;="&amp;B9,'Invoice Log'!$K$5:$K$104,"Yes"))</x:f>
      </x:c>
      <x:c r="J9" s="36" t="str">
        <x:f>IFERROR(I9/H9,"")</x:f>
      </x:c>
      <x:c r="K9" s="32" t="str">
        <x:f>IF(H9="","",H9-I9)</x:f>
      </x:c>
      <x:c r="L9" s="32" t="str">
        <x:f>IFERROR(K9/H9,"")</x:f>
      </x:c>
      <x:c r="M9" s="32"/>
      <x:c r="N9" s="32"/>
      <x:c r="O9" s="32" t="str">
        <x:f>IF(OR(M9="",N9=""),"",M9+I9-N9)</x:f>
      </x:c>
      <x:c r="P9" s="36" t="str">
        <x:f>IFERROR(O9/H9,"")</x:f>
      </x:c>
      <x:c r="Q9" s="36" t="str">
        <x:f>IFERROR((H9-O9)/H9,"")</x:f>
      </x:c>
      <x:c r="R9" s="21"/>
    </x:row>
    <x:row r="10">
      <x:c r="A10" s="30"/>
      <x:c r="B10" s="30"/>
      <x:c r="C10" s="21" t="str">
        <x:f>IF(A10="","",TEXT(A10,"yyyy-mm"))</x:f>
      </x:c>
      <x:c r="D10" s="32"/>
      <x:c r="E10" s="32"/>
      <x:c r="F10" s="32"/>
      <x:c r="G10" s="32"/>
      <x:c r="H10" s="32" t="str">
        <x:f>IF(D10="","",D10-E10-F10-G10)</x:f>
      </x:c>
      <x:c r="I10" s="32" t="str">
        <x:f>IF(OR(A10="",B10=""),"",SUMIFS('Invoice Log'!$J$5:$J$104,'Invoice Log'!$B$5:$B$104,"&gt;="&amp;A10,'Invoice Log'!$B$5:$B$104,"&lt;="&amp;B10,'Invoice Log'!$K$5:$K$104,"Yes"))</x:f>
      </x:c>
      <x:c r="J10" s="36" t="str">
        <x:f>IFERROR(I10/H10,"")</x:f>
      </x:c>
      <x:c r="K10" s="32" t="str">
        <x:f>IF(H10="","",H10-I10)</x:f>
      </x:c>
      <x:c r="L10" s="32" t="str">
        <x:f>IFERROR(K10/H10,"")</x:f>
      </x:c>
      <x:c r="M10" s="32"/>
      <x:c r="N10" s="32"/>
      <x:c r="O10" s="32" t="str">
        <x:f>IF(OR(M10="",N10=""),"",M10+I10-N10)</x:f>
      </x:c>
      <x:c r="P10" s="36" t="str">
        <x:f>IFERROR(O10/H10,"")</x:f>
      </x:c>
      <x:c r="Q10" s="36" t="str">
        <x:f>IFERROR((H10-O10)/H10,"")</x:f>
      </x:c>
      <x:c r="R10" s="21"/>
    </x:row>
    <x:row r="11">
      <x:c r="A11" s="30"/>
      <x:c r="B11" s="30"/>
      <x:c r="C11" s="21" t="str">
        <x:f>IF(A11="","",TEXT(A11,"yyyy-mm"))</x:f>
      </x:c>
      <x:c r="D11" s="32"/>
      <x:c r="E11" s="32"/>
      <x:c r="F11" s="32"/>
      <x:c r="G11" s="32"/>
      <x:c r="H11" s="32" t="str">
        <x:f>IF(D11="","",D11-E11-F11-G11)</x:f>
      </x:c>
      <x:c r="I11" s="32" t="str">
        <x:f>IF(OR(A11="",B11=""),"",SUMIFS('Invoice Log'!$J$5:$J$104,'Invoice Log'!$B$5:$B$104,"&gt;="&amp;A11,'Invoice Log'!$B$5:$B$104,"&lt;="&amp;B11,'Invoice Log'!$K$5:$K$104,"Yes"))</x:f>
      </x:c>
      <x:c r="J11" s="36" t="str">
        <x:f>IFERROR(I11/H11,"")</x:f>
      </x:c>
      <x:c r="K11" s="32" t="str">
        <x:f>IF(H11="","",H11-I11)</x:f>
      </x:c>
      <x:c r="L11" s="32" t="str">
        <x:f>IFERROR(K11/H11,"")</x:f>
      </x:c>
      <x:c r="M11" s="32"/>
      <x:c r="N11" s="32"/>
      <x:c r="O11" s="32" t="str">
        <x:f>IF(OR(M11="",N11=""),"",M11+I11-N11)</x:f>
      </x:c>
      <x:c r="P11" s="36" t="str">
        <x:f>IFERROR(O11/H11,"")</x:f>
      </x:c>
      <x:c r="Q11" s="36" t="str">
        <x:f>IFERROR((H11-O11)/H11,"")</x:f>
      </x:c>
      <x:c r="R11" s="21"/>
    </x:row>
    <x:row r="12">
      <x:c r="A12" s="30"/>
      <x:c r="B12" s="30"/>
      <x:c r="C12" s="21" t="str">
        <x:f>IF(A12="","",TEXT(A12,"yyyy-mm"))</x:f>
      </x:c>
      <x:c r="D12" s="32"/>
      <x:c r="E12" s="32"/>
      <x:c r="F12" s="32"/>
      <x:c r="G12" s="32"/>
      <x:c r="H12" s="32" t="str">
        <x:f>IF(D12="","",D12-E12-F12-G12)</x:f>
      </x:c>
      <x:c r="I12" s="32" t="str">
        <x:f>IF(OR(A12="",B12=""),"",SUMIFS('Invoice Log'!$J$5:$J$104,'Invoice Log'!$B$5:$B$104,"&gt;="&amp;A12,'Invoice Log'!$B$5:$B$104,"&lt;="&amp;B12,'Invoice Log'!$K$5:$K$104,"Yes"))</x:f>
      </x:c>
      <x:c r="J12" s="36" t="str">
        <x:f>IFERROR(I12/H12,"")</x:f>
      </x:c>
      <x:c r="K12" s="32" t="str">
        <x:f>IF(H12="","",H12-I12)</x:f>
      </x:c>
      <x:c r="L12" s="32" t="str">
        <x:f>IFERROR(K12/H12,"")</x:f>
      </x:c>
      <x:c r="M12" s="32"/>
      <x:c r="N12" s="32"/>
      <x:c r="O12" s="32" t="str">
        <x:f>IF(OR(M12="",N12=""),"",M12+I12-N12)</x:f>
      </x:c>
      <x:c r="P12" s="36" t="str">
        <x:f>IFERROR(O12/H12,"")</x:f>
      </x:c>
      <x:c r="Q12" s="36" t="str">
        <x:f>IFERROR((H12-O12)/H12,"")</x:f>
      </x:c>
      <x:c r="R12" s="21"/>
    </x:row>
    <x:row r="13">
      <x:c r="A13" s="30"/>
      <x:c r="B13" s="30"/>
      <x:c r="C13" s="21" t="str">
        <x:f>IF(A13="","",TEXT(A13,"yyyy-mm"))</x:f>
      </x:c>
      <x:c r="D13" s="32"/>
      <x:c r="E13" s="32"/>
      <x:c r="F13" s="32"/>
      <x:c r="G13" s="32"/>
      <x:c r="H13" s="32" t="str">
        <x:f>IF(D13="","",D13-E13-F13-G13)</x:f>
      </x:c>
      <x:c r="I13" s="32" t="str">
        <x:f>IF(OR(A13="",B13=""),"",SUMIFS('Invoice Log'!$J$5:$J$104,'Invoice Log'!$B$5:$B$104,"&gt;="&amp;A13,'Invoice Log'!$B$5:$B$104,"&lt;="&amp;B13,'Invoice Log'!$K$5:$K$104,"Yes"))</x:f>
      </x:c>
      <x:c r="J13" s="36" t="str">
        <x:f>IFERROR(I13/H13,"")</x:f>
      </x:c>
      <x:c r="K13" s="32" t="str">
        <x:f>IF(H13="","",H13-I13)</x:f>
      </x:c>
      <x:c r="L13" s="32" t="str">
        <x:f>IFERROR(K13/H13,"")</x:f>
      </x:c>
      <x:c r="M13" s="32"/>
      <x:c r="N13" s="32"/>
      <x:c r="O13" s="32" t="str">
        <x:f>IF(OR(M13="",N13=""),"",M13+I13-N13)</x:f>
      </x:c>
      <x:c r="P13" s="36" t="str">
        <x:f>IFERROR(O13/H13,"")</x:f>
      </x:c>
      <x:c r="Q13" s="36" t="str">
        <x:f>IFERROR((H13-O13)/H13,"")</x:f>
      </x:c>
      <x:c r="R13" s="21"/>
    </x:row>
    <x:row r="14">
      <x:c r="A14" s="30"/>
      <x:c r="B14" s="30"/>
      <x:c r="C14" s="21" t="str">
        <x:f>IF(A14="","",TEXT(A14,"yyyy-mm"))</x:f>
      </x:c>
      <x:c r="D14" s="32"/>
      <x:c r="E14" s="32"/>
      <x:c r="F14" s="32"/>
      <x:c r="G14" s="32"/>
      <x:c r="H14" s="32" t="str">
        <x:f>IF(D14="","",D14-E14-F14-G14)</x:f>
      </x:c>
      <x:c r="I14" s="32" t="str">
        <x:f>IF(OR(A14="",B14=""),"",SUMIFS('Invoice Log'!$J$5:$J$104,'Invoice Log'!$B$5:$B$104,"&gt;="&amp;A14,'Invoice Log'!$B$5:$B$104,"&lt;="&amp;B14,'Invoice Log'!$K$5:$K$104,"Yes"))</x:f>
      </x:c>
      <x:c r="J14" s="36" t="str">
        <x:f>IFERROR(I14/H14,"")</x:f>
      </x:c>
      <x:c r="K14" s="32" t="str">
        <x:f>IF(H14="","",H14-I14)</x:f>
      </x:c>
      <x:c r="L14" s="32" t="str">
        <x:f>IFERROR(K14/H14,"")</x:f>
      </x:c>
      <x:c r="M14" s="32"/>
      <x:c r="N14" s="32"/>
      <x:c r="O14" s="32" t="str">
        <x:f>IF(OR(M14="",N14=""),"",M14+I14-N14)</x:f>
      </x:c>
      <x:c r="P14" s="36" t="str">
        <x:f>IFERROR(O14/H14,"")</x:f>
      </x:c>
      <x:c r="Q14" s="36" t="str">
        <x:f>IFERROR((H14-O14)/H14,"")</x:f>
      </x:c>
      <x:c r="R14" s="21"/>
    </x:row>
    <x:row r="15">
      <x:c r="A15" s="30"/>
      <x:c r="B15" s="30"/>
      <x:c r="C15" s="21" t="str">
        <x:f>IF(A15="","",TEXT(A15,"yyyy-mm"))</x:f>
      </x:c>
      <x:c r="D15" s="32"/>
      <x:c r="E15" s="32"/>
      <x:c r="F15" s="32"/>
      <x:c r="G15" s="32"/>
      <x:c r="H15" s="32" t="str">
        <x:f>IF(D15="","",D15-E15-F15-G15)</x:f>
      </x:c>
      <x:c r="I15" s="32" t="str">
        <x:f>IF(OR(A15="",B15=""),"",SUMIFS('Invoice Log'!$J$5:$J$104,'Invoice Log'!$B$5:$B$104,"&gt;="&amp;A15,'Invoice Log'!$B$5:$B$104,"&lt;="&amp;B15,'Invoice Log'!$K$5:$K$104,"Yes"))</x:f>
      </x:c>
      <x:c r="J15" s="36" t="str">
        <x:f>IFERROR(I15/H15,"")</x:f>
      </x:c>
      <x:c r="K15" s="32" t="str">
        <x:f>IF(H15="","",H15-I15)</x:f>
      </x:c>
      <x:c r="L15" s="32" t="str">
        <x:f>IFERROR(K15/H15,"")</x:f>
      </x:c>
      <x:c r="M15" s="32"/>
      <x:c r="N15" s="32"/>
      <x:c r="O15" s="32" t="str">
        <x:f>IF(OR(M15="",N15=""),"",M15+I15-N15)</x:f>
      </x:c>
      <x:c r="P15" s="36" t="str">
        <x:f>IFERROR(O15/H15,"")</x:f>
      </x:c>
      <x:c r="Q15" s="36" t="str">
        <x:f>IFERROR((H15-O15)/H15,"")</x:f>
      </x:c>
      <x:c r="R15" s="21"/>
    </x:row>
    <x:row r="16">
      <x:c r="A16" s="30"/>
      <x:c r="B16" s="30"/>
      <x:c r="C16" s="21" t="str">
        <x:f>IF(A16="","",TEXT(A16,"yyyy-mm"))</x:f>
      </x:c>
      <x:c r="D16" s="32"/>
      <x:c r="E16" s="32"/>
      <x:c r="F16" s="32"/>
      <x:c r="G16" s="32"/>
      <x:c r="H16" s="32" t="str">
        <x:f>IF(D16="","",D16-E16-F16-G16)</x:f>
      </x:c>
      <x:c r="I16" s="32" t="str">
        <x:f>IF(OR(A16="",B16=""),"",SUMIFS('Invoice Log'!$J$5:$J$104,'Invoice Log'!$B$5:$B$104,"&gt;="&amp;A16,'Invoice Log'!$B$5:$B$104,"&lt;="&amp;B16,'Invoice Log'!$K$5:$K$104,"Yes"))</x:f>
      </x:c>
      <x:c r="J16" s="36" t="str">
        <x:f>IFERROR(I16/H16,"")</x:f>
      </x:c>
      <x:c r="K16" s="32" t="str">
        <x:f>IF(H16="","",H16-I16)</x:f>
      </x:c>
      <x:c r="L16" s="32" t="str">
        <x:f>IFERROR(K16/H16,"")</x:f>
      </x:c>
      <x:c r="M16" s="32"/>
      <x:c r="N16" s="32"/>
      <x:c r="O16" s="32" t="str">
        <x:f>IF(OR(M16="",N16=""),"",M16+I16-N16)</x:f>
      </x:c>
      <x:c r="P16" s="36" t="str">
        <x:f>IFERROR(O16/H16,"")</x:f>
      </x:c>
      <x:c r="Q16" s="36" t="str">
        <x:f>IFERROR((H16-O16)/H16,"")</x:f>
      </x:c>
      <x:c r="R16" s="21"/>
    </x:row>
    <x:row r="17">
      <x:c r="A17" s="30"/>
      <x:c r="B17" s="30"/>
      <x:c r="C17" s="21" t="str">
        <x:f>IF(A17="","",TEXT(A17,"yyyy-mm"))</x:f>
      </x:c>
      <x:c r="D17" s="32"/>
      <x:c r="E17" s="32"/>
      <x:c r="F17" s="32"/>
      <x:c r="G17" s="32"/>
      <x:c r="H17" s="32" t="str">
        <x:f>IF(D17="","",D17-E17-F17-G17)</x:f>
      </x:c>
      <x:c r="I17" s="32" t="str">
        <x:f>IF(OR(A17="",B17=""),"",SUMIFS('Invoice Log'!$J$5:$J$104,'Invoice Log'!$B$5:$B$104,"&gt;="&amp;A17,'Invoice Log'!$B$5:$B$104,"&lt;="&amp;B17,'Invoice Log'!$K$5:$K$104,"Yes"))</x:f>
      </x:c>
      <x:c r="J17" s="36" t="str">
        <x:f>IFERROR(I17/H17,"")</x:f>
      </x:c>
      <x:c r="K17" s="32" t="str">
        <x:f>IF(H17="","",H17-I17)</x:f>
      </x:c>
      <x:c r="L17" s="32" t="str">
        <x:f>IFERROR(K17/H17,"")</x:f>
      </x:c>
      <x:c r="M17" s="32"/>
      <x:c r="N17" s="32"/>
      <x:c r="O17" s="32" t="str">
        <x:f>IF(OR(M17="",N17=""),"",M17+I17-N17)</x:f>
      </x:c>
      <x:c r="P17" s="36" t="str">
        <x:f>IFERROR(O17/H17,"")</x:f>
      </x:c>
      <x:c r="Q17" s="36" t="str">
        <x:f>IFERROR((H17-O17)/H17,"")</x:f>
      </x:c>
      <x:c r="R17" s="21"/>
    </x:row>
    <x:row r="18">
      <x:c r="A18" s="30"/>
      <x:c r="B18" s="30"/>
      <x:c r="C18" s="21" t="str">
        <x:f>IF(A18="","",TEXT(A18,"yyyy-mm"))</x:f>
      </x:c>
      <x:c r="D18" s="32"/>
      <x:c r="E18" s="32"/>
      <x:c r="F18" s="32"/>
      <x:c r="G18" s="32"/>
      <x:c r="H18" s="32" t="str">
        <x:f>IF(D18="","",D18-E18-F18-G18)</x:f>
      </x:c>
      <x:c r="I18" s="32" t="str">
        <x:f>IF(OR(A18="",B18=""),"",SUMIFS('Invoice Log'!$J$5:$J$104,'Invoice Log'!$B$5:$B$104,"&gt;="&amp;A18,'Invoice Log'!$B$5:$B$104,"&lt;="&amp;B18,'Invoice Log'!$K$5:$K$104,"Yes"))</x:f>
      </x:c>
      <x:c r="J18" s="36" t="str">
        <x:f>IFERROR(I18/H18,"")</x:f>
      </x:c>
      <x:c r="K18" s="32" t="str">
        <x:f>IF(H18="","",H18-I18)</x:f>
      </x:c>
      <x:c r="L18" s="32" t="str">
        <x:f>IFERROR(K18/H18,"")</x:f>
      </x:c>
      <x:c r="M18" s="32"/>
      <x:c r="N18" s="32"/>
      <x:c r="O18" s="32" t="str">
        <x:f>IF(OR(M18="",N18=""),"",M18+I18-N18)</x:f>
      </x:c>
      <x:c r="P18" s="36" t="str">
        <x:f>IFERROR(O18/H18,"")</x:f>
      </x:c>
      <x:c r="Q18" s="36" t="str">
        <x:f>IFERROR((H18-O18)/H18,"")</x:f>
      </x:c>
      <x:c r="R18" s="21"/>
    </x:row>
    <x:row r="19">
      <x:c r="A19" s="30"/>
      <x:c r="B19" s="30"/>
      <x:c r="C19" s="21" t="str">
        <x:f>IF(A19="","",TEXT(A19,"yyyy-mm"))</x:f>
      </x:c>
      <x:c r="D19" s="32"/>
      <x:c r="E19" s="32"/>
      <x:c r="F19" s="32"/>
      <x:c r="G19" s="32"/>
      <x:c r="H19" s="32" t="str">
        <x:f>IF(D19="","",D19-E19-F19-G19)</x:f>
      </x:c>
      <x:c r="I19" s="32" t="str">
        <x:f>IF(OR(A19="",B19=""),"",SUMIFS('Invoice Log'!$J$5:$J$104,'Invoice Log'!$B$5:$B$104,"&gt;="&amp;A19,'Invoice Log'!$B$5:$B$104,"&lt;="&amp;B19,'Invoice Log'!$K$5:$K$104,"Yes"))</x:f>
      </x:c>
      <x:c r="J19" s="36" t="str">
        <x:f>IFERROR(I19/H19,"")</x:f>
      </x:c>
      <x:c r="K19" s="32" t="str">
        <x:f>IF(H19="","",H19-I19)</x:f>
      </x:c>
      <x:c r="L19" s="32" t="str">
        <x:f>IFERROR(K19/H19,"")</x:f>
      </x:c>
      <x:c r="M19" s="32"/>
      <x:c r="N19" s="32"/>
      <x:c r="O19" s="32" t="str">
        <x:f>IF(OR(M19="",N19=""),"",M19+I19-N19)</x:f>
      </x:c>
      <x:c r="P19" s="36" t="str">
        <x:f>IFERROR(O19/H19,"")</x:f>
      </x:c>
      <x:c r="Q19" s="36" t="str">
        <x:f>IFERROR((H19-O19)/H19,"")</x:f>
      </x:c>
      <x:c r="R19" s="21"/>
    </x:row>
    <x:row r="20">
      <x:c r="A20" s="30"/>
      <x:c r="B20" s="30"/>
      <x:c r="C20" s="21" t="str">
        <x:f>IF(A20="","",TEXT(A20,"yyyy-mm"))</x:f>
      </x:c>
      <x:c r="D20" s="32"/>
      <x:c r="E20" s="32"/>
      <x:c r="F20" s="32"/>
      <x:c r="G20" s="32"/>
      <x:c r="H20" s="32" t="str">
        <x:f>IF(D20="","",D20-E20-F20-G20)</x:f>
      </x:c>
      <x:c r="I20" s="32" t="str">
        <x:f>IF(OR(A20="",B20=""),"",SUMIFS('Invoice Log'!$J$5:$J$104,'Invoice Log'!$B$5:$B$104,"&gt;="&amp;A20,'Invoice Log'!$B$5:$B$104,"&lt;="&amp;B20,'Invoice Log'!$K$5:$K$104,"Yes"))</x:f>
      </x:c>
      <x:c r="J20" s="36" t="str">
        <x:f>IFERROR(I20/H20,"")</x:f>
      </x:c>
      <x:c r="K20" s="32" t="str">
        <x:f>IF(H20="","",H20-I20)</x:f>
      </x:c>
      <x:c r="L20" s="32" t="str">
        <x:f>IFERROR(K20/H20,"")</x:f>
      </x:c>
      <x:c r="M20" s="32"/>
      <x:c r="N20" s="32"/>
      <x:c r="O20" s="32" t="str">
        <x:f>IF(OR(M20="",N20=""),"",M20+I20-N20)</x:f>
      </x:c>
      <x:c r="P20" s="36" t="str">
        <x:f>IFERROR(O20/H20,"")</x:f>
      </x:c>
      <x:c r="Q20" s="36" t="str">
        <x:f>IFERROR((H20-O20)/H20,"")</x:f>
      </x:c>
      <x:c r="R20" s="21"/>
    </x:row>
    <x:row r="21">
      <x:c r="A21" s="30"/>
      <x:c r="B21" s="30"/>
      <x:c r="C21" s="21" t="str">
        <x:f>IF(A21="","",TEXT(A21,"yyyy-mm"))</x:f>
      </x:c>
      <x:c r="D21" s="32"/>
      <x:c r="E21" s="32"/>
      <x:c r="F21" s="32"/>
      <x:c r="G21" s="32"/>
      <x:c r="H21" s="32" t="str">
        <x:f>IF(D21="","",D21-E21-F21-G21)</x:f>
      </x:c>
      <x:c r="I21" s="32" t="str">
        <x:f>IF(OR(A21="",B21=""),"",SUMIFS('Invoice Log'!$J$5:$J$104,'Invoice Log'!$B$5:$B$104,"&gt;="&amp;A21,'Invoice Log'!$B$5:$B$104,"&lt;="&amp;B21,'Invoice Log'!$K$5:$K$104,"Yes"))</x:f>
      </x:c>
      <x:c r="J21" s="36" t="str">
        <x:f>IFERROR(I21/H21,"")</x:f>
      </x:c>
      <x:c r="K21" s="32" t="str">
        <x:f>IF(H21="","",H21-I21)</x:f>
      </x:c>
      <x:c r="L21" s="32" t="str">
        <x:f>IFERROR(K21/H21,"")</x:f>
      </x:c>
      <x:c r="M21" s="32"/>
      <x:c r="N21" s="32"/>
      <x:c r="O21" s="32" t="str">
        <x:f>IF(OR(M21="",N21=""),"",M21+I21-N21)</x:f>
      </x:c>
      <x:c r="P21" s="36" t="str">
        <x:f>IFERROR(O21/H21,"")</x:f>
      </x:c>
      <x:c r="Q21" s="36" t="str">
        <x:f>IFERROR((H21-O21)/H21,"")</x:f>
      </x:c>
      <x:c r="R21" s="21"/>
    </x:row>
    <x:row r="22">
      <x:c r="A22" s="30"/>
      <x:c r="B22" s="30"/>
      <x:c r="C22" s="21" t="str">
        <x:f>IF(A22="","",TEXT(A22,"yyyy-mm"))</x:f>
      </x:c>
      <x:c r="D22" s="32"/>
      <x:c r="E22" s="32"/>
      <x:c r="F22" s="32"/>
      <x:c r="G22" s="32"/>
      <x:c r="H22" s="32" t="str">
        <x:f>IF(D22="","",D22-E22-F22-G22)</x:f>
      </x:c>
      <x:c r="I22" s="32" t="str">
        <x:f>IF(OR(A22="",B22=""),"",SUMIFS('Invoice Log'!$J$5:$J$104,'Invoice Log'!$B$5:$B$104,"&gt;="&amp;A22,'Invoice Log'!$B$5:$B$104,"&lt;="&amp;B22,'Invoice Log'!$K$5:$K$104,"Yes"))</x:f>
      </x:c>
      <x:c r="J22" s="36" t="str">
        <x:f>IFERROR(I22/H22,"")</x:f>
      </x:c>
      <x:c r="K22" s="32" t="str">
        <x:f>IF(H22="","",H22-I22)</x:f>
      </x:c>
      <x:c r="L22" s="32" t="str">
        <x:f>IFERROR(K22/H22,"")</x:f>
      </x:c>
      <x:c r="M22" s="32"/>
      <x:c r="N22" s="32"/>
      <x:c r="O22" s="32" t="str">
        <x:f>IF(OR(M22="",N22=""),"",M22+I22-N22)</x:f>
      </x:c>
      <x:c r="P22" s="36" t="str">
        <x:f>IFERROR(O22/H22,"")</x:f>
      </x:c>
      <x:c r="Q22" s="36" t="str">
        <x:f>IFERROR((H22-O22)/H22,"")</x:f>
      </x:c>
      <x:c r="R22" s="21"/>
    </x:row>
    <x:row r="23">
      <x:c r="A23" s="30"/>
      <x:c r="B23" s="30"/>
      <x:c r="C23" s="21" t="str">
        <x:f>IF(A23="","",TEXT(A23,"yyyy-mm"))</x:f>
      </x:c>
      <x:c r="D23" s="32"/>
      <x:c r="E23" s="32"/>
      <x:c r="F23" s="32"/>
      <x:c r="G23" s="32"/>
      <x:c r="H23" s="32" t="str">
        <x:f>IF(D23="","",D23-E23-F23-G23)</x:f>
      </x:c>
      <x:c r="I23" s="32" t="str">
        <x:f>IF(OR(A23="",B23=""),"",SUMIFS('Invoice Log'!$J$5:$J$104,'Invoice Log'!$B$5:$B$104,"&gt;="&amp;A23,'Invoice Log'!$B$5:$B$104,"&lt;="&amp;B23,'Invoice Log'!$K$5:$K$104,"Yes"))</x:f>
      </x:c>
      <x:c r="J23" s="36" t="str">
        <x:f>IFERROR(I23/H23,"")</x:f>
      </x:c>
      <x:c r="K23" s="32" t="str">
        <x:f>IF(H23="","",H23-I23)</x:f>
      </x:c>
      <x:c r="L23" s="32" t="str">
        <x:f>IFERROR(K23/H23,"")</x:f>
      </x:c>
      <x:c r="M23" s="32"/>
      <x:c r="N23" s="32"/>
      <x:c r="O23" s="32" t="str">
        <x:f>IF(OR(M23="",N23=""),"",M23+I23-N23)</x:f>
      </x:c>
      <x:c r="P23" s="36" t="str">
        <x:f>IFERROR(O23/H23,"")</x:f>
      </x:c>
      <x:c r="Q23" s="36" t="str">
        <x:f>IFERROR((H23-O23)/H23,"")</x:f>
      </x:c>
      <x:c r="R23" s="21"/>
    </x:row>
    <x:row r="24">
      <x:c r="A24" s="30"/>
      <x:c r="B24" s="30"/>
      <x:c r="C24" s="21" t="str">
        <x:f>IF(A24="","",TEXT(A24,"yyyy-mm"))</x:f>
      </x:c>
      <x:c r="D24" s="32"/>
      <x:c r="E24" s="32"/>
      <x:c r="F24" s="32"/>
      <x:c r="G24" s="32"/>
      <x:c r="H24" s="32" t="str">
        <x:f>IF(D24="","",D24-E24-F24-G24)</x:f>
      </x:c>
      <x:c r="I24" s="32" t="str">
        <x:f>IF(OR(A24="",B24=""),"",SUMIFS('Invoice Log'!$J$5:$J$104,'Invoice Log'!$B$5:$B$104,"&gt;="&amp;A24,'Invoice Log'!$B$5:$B$104,"&lt;="&amp;B24,'Invoice Log'!$K$5:$K$104,"Yes"))</x:f>
      </x:c>
      <x:c r="J24" s="36" t="str">
        <x:f>IFERROR(I24/H24,"")</x:f>
      </x:c>
      <x:c r="K24" s="32" t="str">
        <x:f>IF(H24="","",H24-I24)</x:f>
      </x:c>
      <x:c r="L24" s="32" t="str">
        <x:f>IFERROR(K24/H24,"")</x:f>
      </x:c>
      <x:c r="M24" s="32"/>
      <x:c r="N24" s="32"/>
      <x:c r="O24" s="32" t="str">
        <x:f>IF(OR(M24="",N24=""),"",M24+I24-N24)</x:f>
      </x:c>
      <x:c r="P24" s="36" t="str">
        <x:f>IFERROR(O24/H24,"")</x:f>
      </x:c>
      <x:c r="Q24" s="36" t="str">
        <x:f>IFERROR((H24-O24)/H24,"")</x:f>
      </x:c>
      <x:c r="R24" s="21"/>
    </x:row>
    <x:row r="25">
      <x:c r="A25" s="30"/>
      <x:c r="B25" s="30"/>
      <x:c r="C25" s="21" t="str">
        <x:f>IF(A25="","",TEXT(A25,"yyyy-mm"))</x:f>
      </x:c>
      <x:c r="D25" s="32"/>
      <x:c r="E25" s="32"/>
      <x:c r="F25" s="32"/>
      <x:c r="G25" s="32"/>
      <x:c r="H25" s="32" t="str">
        <x:f>IF(D25="","",D25-E25-F25-G25)</x:f>
      </x:c>
      <x:c r="I25" s="32" t="str">
        <x:f>IF(OR(A25="",B25=""),"",SUMIFS('Invoice Log'!$J$5:$J$104,'Invoice Log'!$B$5:$B$104,"&gt;="&amp;A25,'Invoice Log'!$B$5:$B$104,"&lt;="&amp;B25,'Invoice Log'!$K$5:$K$104,"Yes"))</x:f>
      </x:c>
      <x:c r="J25" s="36" t="str">
        <x:f>IFERROR(I25/H25,"")</x:f>
      </x:c>
      <x:c r="K25" s="32" t="str">
        <x:f>IF(H25="","",H25-I25)</x:f>
      </x:c>
      <x:c r="L25" s="32" t="str">
        <x:f>IFERROR(K25/H25,"")</x:f>
      </x:c>
      <x:c r="M25" s="32"/>
      <x:c r="N25" s="32"/>
      <x:c r="O25" s="32" t="str">
        <x:f>IF(OR(M25="",N25=""),"",M25+I25-N25)</x:f>
      </x:c>
      <x:c r="P25" s="36" t="str">
        <x:f>IFERROR(O25/H25,"")</x:f>
      </x:c>
      <x:c r="Q25" s="36" t="str">
        <x:f>IFERROR((H25-O25)/H25,"")</x:f>
      </x:c>
      <x:c r="R25" s="21"/>
    </x:row>
    <x:row r="26">
      <x:c r="A26" s="30"/>
      <x:c r="B26" s="30"/>
      <x:c r="C26" s="21" t="str">
        <x:f>IF(A26="","",TEXT(A26,"yyyy-mm"))</x:f>
      </x:c>
      <x:c r="D26" s="32"/>
      <x:c r="E26" s="32"/>
      <x:c r="F26" s="32"/>
      <x:c r="G26" s="32"/>
      <x:c r="H26" s="32" t="str">
        <x:f>IF(D26="","",D26-E26-F26-G26)</x:f>
      </x:c>
      <x:c r="I26" s="32" t="str">
        <x:f>IF(OR(A26="",B26=""),"",SUMIFS('Invoice Log'!$J$5:$J$104,'Invoice Log'!$B$5:$B$104,"&gt;="&amp;A26,'Invoice Log'!$B$5:$B$104,"&lt;="&amp;B26,'Invoice Log'!$K$5:$K$104,"Yes"))</x:f>
      </x:c>
      <x:c r="J26" s="36" t="str">
        <x:f>IFERROR(I26/H26,"")</x:f>
      </x:c>
      <x:c r="K26" s="32" t="str">
        <x:f>IF(H26="","",H26-I26)</x:f>
      </x:c>
      <x:c r="L26" s="32" t="str">
        <x:f>IFERROR(K26/H26,"")</x:f>
      </x:c>
      <x:c r="M26" s="32"/>
      <x:c r="N26" s="32"/>
      <x:c r="O26" s="32" t="str">
        <x:f>IF(OR(M26="",N26=""),"",M26+I26-N26)</x:f>
      </x:c>
      <x:c r="P26" s="36" t="str">
        <x:f>IFERROR(O26/H26,"")</x:f>
      </x:c>
      <x:c r="Q26" s="36" t="str">
        <x:f>IFERROR((H26-O26)/H26,"")</x:f>
      </x:c>
      <x:c r="R26" s="21"/>
    </x:row>
    <x:row r="27">
      <x:c r="A27" s="30"/>
      <x:c r="B27" s="30"/>
      <x:c r="C27" s="21" t="str">
        <x:f>IF(A27="","",TEXT(A27,"yyyy-mm"))</x:f>
      </x:c>
      <x:c r="D27" s="32"/>
      <x:c r="E27" s="32"/>
      <x:c r="F27" s="32"/>
      <x:c r="G27" s="32"/>
      <x:c r="H27" s="32" t="str">
        <x:f>IF(D27="","",D27-E27-F27-G27)</x:f>
      </x:c>
      <x:c r="I27" s="32" t="str">
        <x:f>IF(OR(A27="",B27=""),"",SUMIFS('Invoice Log'!$J$5:$J$104,'Invoice Log'!$B$5:$B$104,"&gt;="&amp;A27,'Invoice Log'!$B$5:$B$104,"&lt;="&amp;B27,'Invoice Log'!$K$5:$K$104,"Yes"))</x:f>
      </x:c>
      <x:c r="J27" s="36" t="str">
        <x:f>IFERROR(I27/H27,"")</x:f>
      </x:c>
      <x:c r="K27" s="32" t="str">
        <x:f>IF(H27="","",H27-I27)</x:f>
      </x:c>
      <x:c r="L27" s="32" t="str">
        <x:f>IFERROR(K27/H27,"")</x:f>
      </x:c>
      <x:c r="M27" s="32"/>
      <x:c r="N27" s="32"/>
      <x:c r="O27" s="32" t="str">
        <x:f>IF(OR(M27="",N27=""),"",M27+I27-N27)</x:f>
      </x:c>
      <x:c r="P27" s="36" t="str">
        <x:f>IFERROR(O27/H27,"")</x:f>
      </x:c>
      <x:c r="Q27" s="36" t="str">
        <x:f>IFERROR((H27-O27)/H27,"")</x:f>
      </x:c>
      <x:c r="R27" s="21"/>
    </x:row>
    <x:row r="28">
      <x:c r="A28" s="30"/>
      <x:c r="B28" s="30"/>
      <x:c r="C28" s="21" t="str">
        <x:f>IF(A28="","",TEXT(A28,"yyyy-mm"))</x:f>
      </x:c>
      <x:c r="D28" s="32"/>
      <x:c r="E28" s="32"/>
      <x:c r="F28" s="32"/>
      <x:c r="G28" s="32"/>
      <x:c r="H28" s="32" t="str">
        <x:f>IF(D28="","",D28-E28-F28-G28)</x:f>
      </x:c>
      <x:c r="I28" s="32" t="str">
        <x:f>IF(OR(A28="",B28=""),"",SUMIFS('Invoice Log'!$J$5:$J$104,'Invoice Log'!$B$5:$B$104,"&gt;="&amp;A28,'Invoice Log'!$B$5:$B$104,"&lt;="&amp;B28,'Invoice Log'!$K$5:$K$104,"Yes"))</x:f>
      </x:c>
      <x:c r="J28" s="36" t="str">
        <x:f>IFERROR(I28/H28,"")</x:f>
      </x:c>
      <x:c r="K28" s="32" t="str">
        <x:f>IF(H28="","",H28-I28)</x:f>
      </x:c>
      <x:c r="L28" s="32" t="str">
        <x:f>IFERROR(K28/H28,"")</x:f>
      </x:c>
      <x:c r="M28" s="32"/>
      <x:c r="N28" s="32"/>
      <x:c r="O28" s="32" t="str">
        <x:f>IF(OR(M28="",N28=""),"",M28+I28-N28)</x:f>
      </x:c>
      <x:c r="P28" s="36" t="str">
        <x:f>IFERROR(O28/H28,"")</x:f>
      </x:c>
      <x:c r="Q28" s="36" t="str">
        <x:f>IFERROR((H28-O28)/H28,"")</x:f>
      </x:c>
      <x:c r="R28" s="21"/>
    </x:row>
    <x:row r="29">
      <x:c r="A29" s="30"/>
      <x:c r="B29" s="30"/>
      <x:c r="C29" s="21" t="str">
        <x:f>IF(A29="","",TEXT(A29,"yyyy-mm"))</x:f>
      </x:c>
      <x:c r="D29" s="32"/>
      <x:c r="E29" s="32"/>
      <x:c r="F29" s="32"/>
      <x:c r="G29" s="32"/>
      <x:c r="H29" s="32" t="str">
        <x:f>IF(D29="","",D29-E29-F29-G29)</x:f>
      </x:c>
      <x:c r="I29" s="32" t="str">
        <x:f>IF(OR(A29="",B29=""),"",SUMIFS('Invoice Log'!$J$5:$J$104,'Invoice Log'!$B$5:$B$104,"&gt;="&amp;A29,'Invoice Log'!$B$5:$B$104,"&lt;="&amp;B29,'Invoice Log'!$K$5:$K$104,"Yes"))</x:f>
      </x:c>
      <x:c r="J29" s="36" t="str">
        <x:f>IFERROR(I29/H29,"")</x:f>
      </x:c>
      <x:c r="K29" s="32" t="str">
        <x:f>IF(H29="","",H29-I29)</x:f>
      </x:c>
      <x:c r="L29" s="32" t="str">
        <x:f>IFERROR(K29/H29,"")</x:f>
      </x:c>
      <x:c r="M29" s="32"/>
      <x:c r="N29" s="32"/>
      <x:c r="O29" s="32" t="str">
        <x:f>IF(OR(M29="",N29=""),"",M29+I29-N29)</x:f>
      </x:c>
      <x:c r="P29" s="36" t="str">
        <x:f>IFERROR(O29/H29,"")</x:f>
      </x:c>
      <x:c r="Q29" s="36" t="str">
        <x:f>IFERROR((H29-O29)/H29,"")</x:f>
      </x:c>
      <x:c r="R29" s="21"/>
    </x:row>
    <x:row r="30">
      <x:c r="A30" s="30"/>
      <x:c r="B30" s="30"/>
      <x:c r="C30" s="21" t="str">
        <x:f>IF(A30="","",TEXT(A30,"yyyy-mm"))</x:f>
      </x:c>
      <x:c r="D30" s="32"/>
      <x:c r="E30" s="32"/>
      <x:c r="F30" s="32"/>
      <x:c r="G30" s="32"/>
      <x:c r="H30" s="32" t="str">
        <x:f>IF(D30="","",D30-E30-F30-G30)</x:f>
      </x:c>
      <x:c r="I30" s="32" t="str">
        <x:f>IF(OR(A30="",B30=""),"",SUMIFS('Invoice Log'!$J$5:$J$104,'Invoice Log'!$B$5:$B$104,"&gt;="&amp;A30,'Invoice Log'!$B$5:$B$104,"&lt;="&amp;B30,'Invoice Log'!$K$5:$K$104,"Yes"))</x:f>
      </x:c>
      <x:c r="J30" s="36" t="str">
        <x:f>IFERROR(I30/H30,"")</x:f>
      </x:c>
      <x:c r="K30" s="32" t="str">
        <x:f>IF(H30="","",H30-I30)</x:f>
      </x:c>
      <x:c r="L30" s="32" t="str">
        <x:f>IFERROR(K30/H30,"")</x:f>
      </x:c>
      <x:c r="M30" s="32"/>
      <x:c r="N30" s="32"/>
      <x:c r="O30" s="32" t="str">
        <x:f>IF(OR(M30="",N30=""),"",M30+I30-N30)</x:f>
      </x:c>
      <x:c r="P30" s="36" t="str">
        <x:f>IFERROR(O30/H30,"")</x:f>
      </x:c>
      <x:c r="Q30" s="36" t="str">
        <x:f>IFERROR((H30-O30)/H30,"")</x:f>
      </x:c>
      <x:c r="R30" s="21"/>
    </x:row>
    <x:row r="31">
      <x:c r="A31" s="30"/>
      <x:c r="B31" s="30"/>
      <x:c r="C31" s="21" t="str">
        <x:f>IF(A31="","",TEXT(A31,"yyyy-mm"))</x:f>
      </x:c>
      <x:c r="D31" s="32"/>
      <x:c r="E31" s="32"/>
      <x:c r="F31" s="32"/>
      <x:c r="G31" s="32"/>
      <x:c r="H31" s="32" t="str">
        <x:f>IF(D31="","",D31-E31-F31-G31)</x:f>
      </x:c>
      <x:c r="I31" s="32" t="str">
        <x:f>IF(OR(A31="",B31=""),"",SUMIFS('Invoice Log'!$J$5:$J$104,'Invoice Log'!$B$5:$B$104,"&gt;="&amp;A31,'Invoice Log'!$B$5:$B$104,"&lt;="&amp;B31,'Invoice Log'!$K$5:$K$104,"Yes"))</x:f>
      </x:c>
      <x:c r="J31" s="36" t="str">
        <x:f>IFERROR(I31/H31,"")</x:f>
      </x:c>
      <x:c r="K31" s="32" t="str">
        <x:f>IF(H31="","",H31-I31)</x:f>
      </x:c>
      <x:c r="L31" s="32" t="str">
        <x:f>IFERROR(K31/H31,"")</x:f>
      </x:c>
      <x:c r="M31" s="32"/>
      <x:c r="N31" s="32"/>
      <x:c r="O31" s="32" t="str">
        <x:f>IF(OR(M31="",N31=""),"",M31+I31-N31)</x:f>
      </x:c>
      <x:c r="P31" s="36" t="str">
        <x:f>IFERROR(O31/H31,"")</x:f>
      </x:c>
      <x:c r="Q31" s="36" t="str">
        <x:f>IFERROR((H31-O31)/H31,"")</x:f>
      </x:c>
      <x:c r="R31" s="21"/>
    </x:row>
    <x:row r="32">
      <x:c r="A32" s="30"/>
      <x:c r="B32" s="30"/>
      <x:c r="C32" s="21" t="str">
        <x:f>IF(A32="","",TEXT(A32,"yyyy-mm"))</x:f>
      </x:c>
      <x:c r="D32" s="32"/>
      <x:c r="E32" s="32"/>
      <x:c r="F32" s="32"/>
      <x:c r="G32" s="32"/>
      <x:c r="H32" s="32" t="str">
        <x:f>IF(D32="","",D32-E32-F32-G32)</x:f>
      </x:c>
      <x:c r="I32" s="32" t="str">
        <x:f>IF(OR(A32="",B32=""),"",SUMIFS('Invoice Log'!$J$5:$J$104,'Invoice Log'!$B$5:$B$104,"&gt;="&amp;A32,'Invoice Log'!$B$5:$B$104,"&lt;="&amp;B32,'Invoice Log'!$K$5:$K$104,"Yes"))</x:f>
      </x:c>
      <x:c r="J32" s="36" t="str">
        <x:f>IFERROR(I32/H32,"")</x:f>
      </x:c>
      <x:c r="K32" s="32" t="str">
        <x:f>IF(H32="","",H32-I32)</x:f>
      </x:c>
      <x:c r="L32" s="32" t="str">
        <x:f>IFERROR(K32/H32,"")</x:f>
      </x:c>
      <x:c r="M32" s="32"/>
      <x:c r="N32" s="32"/>
      <x:c r="O32" s="32" t="str">
        <x:f>IF(OR(M32="",N32=""),"",M32+I32-N32)</x:f>
      </x:c>
      <x:c r="P32" s="36" t="str">
        <x:f>IFERROR(O32/H32,"")</x:f>
      </x:c>
      <x:c r="Q32" s="36" t="str">
        <x:f>IFERROR((H32-O32)/H32,"")</x:f>
      </x:c>
      <x:c r="R32" s="21"/>
    </x:row>
    <x:row r="33">
      <x:c r="A33" s="30"/>
      <x:c r="B33" s="30"/>
      <x:c r="C33" s="21" t="str">
        <x:f>IF(A33="","",TEXT(A33,"yyyy-mm"))</x:f>
      </x:c>
      <x:c r="D33" s="32"/>
      <x:c r="E33" s="32"/>
      <x:c r="F33" s="32"/>
      <x:c r="G33" s="32"/>
      <x:c r="H33" s="32" t="str">
        <x:f>IF(D33="","",D33-E33-F33-G33)</x:f>
      </x:c>
      <x:c r="I33" s="32" t="str">
        <x:f>IF(OR(A33="",B33=""),"",SUMIFS('Invoice Log'!$J$5:$J$104,'Invoice Log'!$B$5:$B$104,"&gt;="&amp;A33,'Invoice Log'!$B$5:$B$104,"&lt;="&amp;B33,'Invoice Log'!$K$5:$K$104,"Yes"))</x:f>
      </x:c>
      <x:c r="J33" s="36" t="str">
        <x:f>IFERROR(I33/H33,"")</x:f>
      </x:c>
      <x:c r="K33" s="32" t="str">
        <x:f>IF(H33="","",H33-I33)</x:f>
      </x:c>
      <x:c r="L33" s="32" t="str">
        <x:f>IFERROR(K33/H33,"")</x:f>
      </x:c>
      <x:c r="M33" s="32"/>
      <x:c r="N33" s="32"/>
      <x:c r="O33" s="32" t="str">
        <x:f>IF(OR(M33="",N33=""),"",M33+I33-N33)</x:f>
      </x:c>
      <x:c r="P33" s="36" t="str">
        <x:f>IFERROR(O33/H33,"")</x:f>
      </x:c>
      <x:c r="Q33" s="36" t="str">
        <x:f>IFERROR((H33-O33)/H33,"")</x:f>
      </x:c>
      <x:c r="R33" s="21"/>
    </x:row>
    <x:row r="34">
      <x:c r="A34" s="30"/>
      <x:c r="B34" s="30"/>
      <x:c r="C34" s="21" t="str">
        <x:f>IF(A34="","",TEXT(A34,"yyyy-mm"))</x:f>
      </x:c>
      <x:c r="D34" s="32"/>
      <x:c r="E34" s="32"/>
      <x:c r="F34" s="32"/>
      <x:c r="G34" s="32"/>
      <x:c r="H34" s="32" t="str">
        <x:f>IF(D34="","",D34-E34-F34-G34)</x:f>
      </x:c>
      <x:c r="I34" s="32" t="str">
        <x:f>IF(OR(A34="",B34=""),"",SUMIFS('Invoice Log'!$J$5:$J$104,'Invoice Log'!$B$5:$B$104,"&gt;="&amp;A34,'Invoice Log'!$B$5:$B$104,"&lt;="&amp;B34,'Invoice Log'!$K$5:$K$104,"Yes"))</x:f>
      </x:c>
      <x:c r="J34" s="36" t="str">
        <x:f>IFERROR(I34/H34,"")</x:f>
      </x:c>
      <x:c r="K34" s="32" t="str">
        <x:f>IF(H34="","",H34-I34)</x:f>
      </x:c>
      <x:c r="L34" s="32" t="str">
        <x:f>IFERROR(K34/H34,"")</x:f>
      </x:c>
      <x:c r="M34" s="32"/>
      <x:c r="N34" s="32"/>
      <x:c r="O34" s="32" t="str">
        <x:f>IF(OR(M34="",N34=""),"",M34+I34-N34)</x:f>
      </x:c>
      <x:c r="P34" s="36" t="str">
        <x:f>IFERROR(O34/H34,"")</x:f>
      </x:c>
      <x:c r="Q34" s="36" t="str">
        <x:f>IFERROR((H34-O34)/H34,"")</x:f>
      </x:c>
      <x:c r="R34" s="21"/>
    </x:row>
    <x:row r="35">
      <x:c r="A35" s="30"/>
      <x:c r="B35" s="30"/>
      <x:c r="C35" s="21" t="str">
        <x:f>IF(A35="","",TEXT(A35,"yyyy-mm"))</x:f>
      </x:c>
      <x:c r="D35" s="32"/>
      <x:c r="E35" s="32"/>
      <x:c r="F35" s="32"/>
      <x:c r="G35" s="32"/>
      <x:c r="H35" s="32" t="str">
        <x:f>IF(D35="","",D35-E35-F35-G35)</x:f>
      </x:c>
      <x:c r="I35" s="32" t="str">
        <x:f>IF(OR(A35="",B35=""),"",SUMIFS('Invoice Log'!$J$5:$J$104,'Invoice Log'!$B$5:$B$104,"&gt;="&amp;A35,'Invoice Log'!$B$5:$B$104,"&lt;="&amp;B35,'Invoice Log'!$K$5:$K$104,"Yes"))</x:f>
      </x:c>
      <x:c r="J35" s="36" t="str">
        <x:f>IFERROR(I35/H35,"")</x:f>
      </x:c>
      <x:c r="K35" s="32" t="str">
        <x:f>IF(H35="","",H35-I35)</x:f>
      </x:c>
      <x:c r="L35" s="32" t="str">
        <x:f>IFERROR(K35/H35,"")</x:f>
      </x:c>
      <x:c r="M35" s="32"/>
      <x:c r="N35" s="32"/>
      <x:c r="O35" s="32" t="str">
        <x:f>IF(OR(M35="",N35=""),"",M35+I35-N35)</x:f>
      </x:c>
      <x:c r="P35" s="36" t="str">
        <x:f>IFERROR(O35/H35,"")</x:f>
      </x:c>
      <x:c r="Q35" s="36" t="str">
        <x:f>IFERROR((H35-O35)/H35,"")</x:f>
      </x:c>
      <x:c r="R35" s="21"/>
    </x:row>
    <x:row r="36">
      <x:c r="A36" s="30"/>
      <x:c r="B36" s="30"/>
      <x:c r="C36" s="21" t="str">
        <x:f>IF(A36="","",TEXT(A36,"yyyy-mm"))</x:f>
      </x:c>
      <x:c r="D36" s="32"/>
      <x:c r="E36" s="32"/>
      <x:c r="F36" s="32"/>
      <x:c r="G36" s="32"/>
      <x:c r="H36" s="32" t="str">
        <x:f>IF(D36="","",D36-E36-F36-G36)</x:f>
      </x:c>
      <x:c r="I36" s="32" t="str">
        <x:f>IF(OR(A36="",B36=""),"",SUMIFS('Invoice Log'!$J$5:$J$104,'Invoice Log'!$B$5:$B$104,"&gt;="&amp;A36,'Invoice Log'!$B$5:$B$104,"&lt;="&amp;B36,'Invoice Log'!$K$5:$K$104,"Yes"))</x:f>
      </x:c>
      <x:c r="J36" s="36" t="str">
        <x:f>IFERROR(I36/H36,"")</x:f>
      </x:c>
      <x:c r="K36" s="32" t="str">
        <x:f>IF(H36="","",H36-I36)</x:f>
      </x:c>
      <x:c r="L36" s="32" t="str">
        <x:f>IFERROR(K36/H36,"")</x:f>
      </x:c>
      <x:c r="M36" s="32"/>
      <x:c r="N36" s="32"/>
      <x:c r="O36" s="32" t="str">
        <x:f>IF(OR(M36="",N36=""),"",M36+I36-N36)</x:f>
      </x:c>
      <x:c r="P36" s="36" t="str">
        <x:f>IFERROR(O36/H36,"")</x:f>
      </x:c>
      <x:c r="Q36" s="36" t="str">
        <x:f>IFERROR((H36-O36)/H36,"")</x:f>
      </x:c>
      <x:c r="R36" s="21"/>
    </x:row>
    <x:row r="37">
      <x:c r="A37" s="30"/>
      <x:c r="B37" s="30"/>
      <x:c r="C37" s="21" t="str">
        <x:f>IF(A37="","",TEXT(A37,"yyyy-mm"))</x:f>
      </x:c>
      <x:c r="D37" s="32"/>
      <x:c r="E37" s="32"/>
      <x:c r="F37" s="32"/>
      <x:c r="G37" s="32"/>
      <x:c r="H37" s="32" t="str">
        <x:f>IF(D37="","",D37-E37-F37-G37)</x:f>
      </x:c>
      <x:c r="I37" s="32" t="str">
        <x:f>IF(OR(A37="",B37=""),"",SUMIFS('Invoice Log'!$J$5:$J$104,'Invoice Log'!$B$5:$B$104,"&gt;="&amp;A37,'Invoice Log'!$B$5:$B$104,"&lt;="&amp;B37,'Invoice Log'!$K$5:$K$104,"Yes"))</x:f>
      </x:c>
      <x:c r="J37" s="36" t="str">
        <x:f>IFERROR(I37/H37,"")</x:f>
      </x:c>
      <x:c r="K37" s="32" t="str">
        <x:f>IF(H37="","",H37-I37)</x:f>
      </x:c>
      <x:c r="L37" s="32" t="str">
        <x:f>IFERROR(K37/H37,"")</x:f>
      </x:c>
      <x:c r="M37" s="32"/>
      <x:c r="N37" s="32"/>
      <x:c r="O37" s="32" t="str">
        <x:f>IF(OR(M37="",N37=""),"",M37+I37-N37)</x:f>
      </x:c>
      <x:c r="P37" s="36" t="str">
        <x:f>IFERROR(O37/H37,"")</x:f>
      </x:c>
      <x:c r="Q37" s="36" t="str">
        <x:f>IFERROR((H37-O37)/H37,"")</x:f>
      </x:c>
      <x:c r="R37" s="21"/>
    </x:row>
    <x:row r="38">
      <x:c r="A38" s="30"/>
      <x:c r="B38" s="30"/>
      <x:c r="C38" s="21" t="str">
        <x:f>IF(A38="","",TEXT(A38,"yyyy-mm"))</x:f>
      </x:c>
      <x:c r="D38" s="32"/>
      <x:c r="E38" s="32"/>
      <x:c r="F38" s="32"/>
      <x:c r="G38" s="32"/>
      <x:c r="H38" s="32" t="str">
        <x:f>IF(D38="","",D38-E38-F38-G38)</x:f>
      </x:c>
      <x:c r="I38" s="32" t="str">
        <x:f>IF(OR(A38="",B38=""),"",SUMIFS('Invoice Log'!$J$5:$J$104,'Invoice Log'!$B$5:$B$104,"&gt;="&amp;A38,'Invoice Log'!$B$5:$B$104,"&lt;="&amp;B38,'Invoice Log'!$K$5:$K$104,"Yes"))</x:f>
      </x:c>
      <x:c r="J38" s="36" t="str">
        <x:f>IFERROR(I38/H38,"")</x:f>
      </x:c>
      <x:c r="K38" s="32" t="str">
        <x:f>IF(H38="","",H38-I38)</x:f>
      </x:c>
      <x:c r="L38" s="32" t="str">
        <x:f>IFERROR(K38/H38,"")</x:f>
      </x:c>
      <x:c r="M38" s="32"/>
      <x:c r="N38" s="32"/>
      <x:c r="O38" s="32" t="str">
        <x:f>IF(OR(M38="",N38=""),"",M38+I38-N38)</x:f>
      </x:c>
      <x:c r="P38" s="36" t="str">
        <x:f>IFERROR(O38/H38,"")</x:f>
      </x:c>
      <x:c r="Q38" s="36" t="str">
        <x:f>IFERROR((H38-O38)/H38,"")</x:f>
      </x:c>
      <x:c r="R38" s="21"/>
    </x:row>
    <x:row r="39">
      <x:c r="A39" s="30"/>
      <x:c r="B39" s="30"/>
      <x:c r="C39" s="21" t="str">
        <x:f>IF(A39="","",TEXT(A39,"yyyy-mm"))</x:f>
      </x:c>
      <x:c r="D39" s="32"/>
      <x:c r="E39" s="32"/>
      <x:c r="F39" s="32"/>
      <x:c r="G39" s="32"/>
      <x:c r="H39" s="32" t="str">
        <x:f>IF(D39="","",D39-E39-F39-G39)</x:f>
      </x:c>
      <x:c r="I39" s="32" t="str">
        <x:f>IF(OR(A39="",B39=""),"",SUMIFS('Invoice Log'!$J$5:$J$104,'Invoice Log'!$B$5:$B$104,"&gt;="&amp;A39,'Invoice Log'!$B$5:$B$104,"&lt;="&amp;B39,'Invoice Log'!$K$5:$K$104,"Yes"))</x:f>
      </x:c>
      <x:c r="J39" s="36" t="str">
        <x:f>IFERROR(I39/H39,"")</x:f>
      </x:c>
      <x:c r="K39" s="32" t="str">
        <x:f>IF(H39="","",H39-I39)</x:f>
      </x:c>
      <x:c r="L39" s="32" t="str">
        <x:f>IFERROR(K39/H39,"")</x:f>
      </x:c>
      <x:c r="M39" s="32"/>
      <x:c r="N39" s="32"/>
      <x:c r="O39" s="32" t="str">
        <x:f>IF(OR(M39="",N39=""),"",M39+I39-N39)</x:f>
      </x:c>
      <x:c r="P39" s="36" t="str">
        <x:f>IFERROR(O39/H39,"")</x:f>
      </x:c>
      <x:c r="Q39" s="36" t="str">
        <x:f>IFERROR((H39-O39)/H39,"")</x:f>
      </x:c>
      <x:c r="R39" s="21"/>
    </x:row>
    <x:row r="40">
      <x:c r="A40" s="30"/>
      <x:c r="B40" s="30"/>
      <x:c r="C40" s="21" t="str">
        <x:f>IF(A40="","",TEXT(A40,"yyyy-mm"))</x:f>
      </x:c>
      <x:c r="D40" s="32"/>
      <x:c r="E40" s="32"/>
      <x:c r="F40" s="32"/>
      <x:c r="G40" s="32"/>
      <x:c r="H40" s="32" t="str">
        <x:f>IF(D40="","",D40-E40-F40-G40)</x:f>
      </x:c>
      <x:c r="I40" s="32" t="str">
        <x:f>IF(OR(A40="",B40=""),"",SUMIFS('Invoice Log'!$J$5:$J$104,'Invoice Log'!$B$5:$B$104,"&gt;="&amp;A40,'Invoice Log'!$B$5:$B$104,"&lt;="&amp;B40,'Invoice Log'!$K$5:$K$104,"Yes"))</x:f>
      </x:c>
      <x:c r="J40" s="36" t="str">
        <x:f>IFERROR(I40/H40,"")</x:f>
      </x:c>
      <x:c r="K40" s="32" t="str">
        <x:f>IF(H40="","",H40-I40)</x:f>
      </x:c>
      <x:c r="L40" s="32" t="str">
        <x:f>IFERROR(K40/H40,"")</x:f>
      </x:c>
      <x:c r="M40" s="32"/>
      <x:c r="N40" s="32"/>
      <x:c r="O40" s="32" t="str">
        <x:f>IF(OR(M40="",N40=""),"",M40+I40-N40)</x:f>
      </x:c>
      <x:c r="P40" s="36" t="str">
        <x:f>IFERROR(O40/H40,"")</x:f>
      </x:c>
      <x:c r="Q40" s="36" t="str">
        <x:f>IFERROR((H40-O40)/H40,"")</x:f>
      </x:c>
      <x:c r="R40" s="21"/>
    </x:row>
    <x:row r="41">
      <x:c r="A41" s="30"/>
      <x:c r="B41" s="30"/>
      <x:c r="C41" s="21" t="str">
        <x:f>IF(A41="","",TEXT(A41,"yyyy-mm"))</x:f>
      </x:c>
      <x:c r="D41" s="32"/>
      <x:c r="E41" s="32"/>
      <x:c r="F41" s="32"/>
      <x:c r="G41" s="32"/>
      <x:c r="H41" s="32" t="str">
        <x:f>IF(D41="","",D41-E41-F41-G41)</x:f>
      </x:c>
      <x:c r="I41" s="32" t="str">
        <x:f>IF(OR(A41="",B41=""),"",SUMIFS('Invoice Log'!$J$5:$J$104,'Invoice Log'!$B$5:$B$104,"&gt;="&amp;A41,'Invoice Log'!$B$5:$B$104,"&lt;="&amp;B41,'Invoice Log'!$K$5:$K$104,"Yes"))</x:f>
      </x:c>
      <x:c r="J41" s="36" t="str">
        <x:f>IFERROR(I41/H41,"")</x:f>
      </x:c>
      <x:c r="K41" s="32" t="str">
        <x:f>IF(H41="","",H41-I41)</x:f>
      </x:c>
      <x:c r="L41" s="32" t="str">
        <x:f>IFERROR(K41/H41,"")</x:f>
      </x:c>
      <x:c r="M41" s="32"/>
      <x:c r="N41" s="32"/>
      <x:c r="O41" s="32" t="str">
        <x:f>IF(OR(M41="",N41=""),"",M41+I41-N41)</x:f>
      </x:c>
      <x:c r="P41" s="36" t="str">
        <x:f>IFERROR(O41/H41,"")</x:f>
      </x:c>
      <x:c r="Q41" s="36" t="str">
        <x:f>IFERROR((H41-O41)/H41,"")</x:f>
      </x:c>
      <x:c r="R41" s="21"/>
    </x:row>
    <x:row r="42">
      <x:c r="A42" s="30"/>
      <x:c r="B42" s="30"/>
      <x:c r="C42" s="21" t="str">
        <x:f>IF(A42="","",TEXT(A42,"yyyy-mm"))</x:f>
      </x:c>
      <x:c r="D42" s="32"/>
      <x:c r="E42" s="32"/>
      <x:c r="F42" s="32"/>
      <x:c r="G42" s="32"/>
      <x:c r="H42" s="32" t="str">
        <x:f>IF(D42="","",D42-E42-F42-G42)</x:f>
      </x:c>
      <x:c r="I42" s="32" t="str">
        <x:f>IF(OR(A42="",B42=""),"",SUMIFS('Invoice Log'!$J$5:$J$104,'Invoice Log'!$B$5:$B$104,"&gt;="&amp;A42,'Invoice Log'!$B$5:$B$104,"&lt;="&amp;B42,'Invoice Log'!$K$5:$K$104,"Yes"))</x:f>
      </x:c>
      <x:c r="J42" s="36" t="str">
        <x:f>IFERROR(I42/H42,"")</x:f>
      </x:c>
      <x:c r="K42" s="32" t="str">
        <x:f>IF(H42="","",H42-I42)</x:f>
      </x:c>
      <x:c r="L42" s="32" t="str">
        <x:f>IFERROR(K42/H42,"")</x:f>
      </x:c>
      <x:c r="M42" s="32"/>
      <x:c r="N42" s="32"/>
      <x:c r="O42" s="32" t="str">
        <x:f>IF(OR(M42="",N42=""),"",M42+I42-N42)</x:f>
      </x:c>
      <x:c r="P42" s="36" t="str">
        <x:f>IFERROR(O42/H42,"")</x:f>
      </x:c>
      <x:c r="Q42" s="36" t="str">
        <x:f>IFERROR((H42-O42)/H42,"")</x:f>
      </x:c>
      <x:c r="R42" s="21"/>
    </x:row>
    <x:row r="43">
      <x:c r="A43" s="30"/>
      <x:c r="B43" s="30"/>
      <x:c r="C43" s="21" t="str">
        <x:f>IF(A43="","",TEXT(A43,"yyyy-mm"))</x:f>
      </x:c>
      <x:c r="D43" s="32"/>
      <x:c r="E43" s="32"/>
      <x:c r="F43" s="32"/>
      <x:c r="G43" s="32"/>
      <x:c r="H43" s="32" t="str">
        <x:f>IF(D43="","",D43-E43-F43-G43)</x:f>
      </x:c>
      <x:c r="I43" s="32" t="str">
        <x:f>IF(OR(A43="",B43=""),"",SUMIFS('Invoice Log'!$J$5:$J$104,'Invoice Log'!$B$5:$B$104,"&gt;="&amp;A43,'Invoice Log'!$B$5:$B$104,"&lt;="&amp;B43,'Invoice Log'!$K$5:$K$104,"Yes"))</x:f>
      </x:c>
      <x:c r="J43" s="36" t="str">
        <x:f>IFERROR(I43/H43,"")</x:f>
      </x:c>
      <x:c r="K43" s="32" t="str">
        <x:f>IF(H43="","",H43-I43)</x:f>
      </x:c>
      <x:c r="L43" s="32" t="str">
        <x:f>IFERROR(K43/H43,"")</x:f>
      </x:c>
      <x:c r="M43" s="32"/>
      <x:c r="N43" s="32"/>
      <x:c r="O43" s="32" t="str">
        <x:f>IF(OR(M43="",N43=""),"",M43+I43-N43)</x:f>
      </x:c>
      <x:c r="P43" s="36" t="str">
        <x:f>IFERROR(O43/H43,"")</x:f>
      </x:c>
      <x:c r="Q43" s="36" t="str">
        <x:f>IFERROR((H43-O43)/H43,"")</x:f>
      </x:c>
      <x:c r="R43" s="21"/>
    </x:row>
    <x:row r="44">
      <x:c r="A44" s="30"/>
      <x:c r="B44" s="30"/>
      <x:c r="C44" s="21" t="str">
        <x:f>IF(A44="","",TEXT(A44,"yyyy-mm"))</x:f>
      </x:c>
      <x:c r="D44" s="32"/>
      <x:c r="E44" s="32"/>
      <x:c r="F44" s="32"/>
      <x:c r="G44" s="32"/>
      <x:c r="H44" s="32" t="str">
        <x:f>IF(D44="","",D44-E44-F44-G44)</x:f>
      </x:c>
      <x:c r="I44" s="32" t="str">
        <x:f>IF(OR(A44="",B44=""),"",SUMIFS('Invoice Log'!$J$5:$J$104,'Invoice Log'!$B$5:$B$104,"&gt;="&amp;A44,'Invoice Log'!$B$5:$B$104,"&lt;="&amp;B44,'Invoice Log'!$K$5:$K$104,"Yes"))</x:f>
      </x:c>
      <x:c r="J44" s="36" t="str">
        <x:f>IFERROR(I44/H44,"")</x:f>
      </x:c>
      <x:c r="K44" s="32" t="str">
        <x:f>IF(H44="","",H44-I44)</x:f>
      </x:c>
      <x:c r="L44" s="32" t="str">
        <x:f>IFERROR(K44/H44,"")</x:f>
      </x:c>
      <x:c r="M44" s="32"/>
      <x:c r="N44" s="32"/>
      <x:c r="O44" s="32" t="str">
        <x:f>IF(OR(M44="",N44=""),"",M44+I44-N44)</x:f>
      </x:c>
      <x:c r="P44" s="36" t="str">
        <x:f>IFERROR(O44/H44,"")</x:f>
      </x:c>
      <x:c r="Q44" s="36" t="str">
        <x:f>IFERROR((H44-O44)/H44,"")</x:f>
      </x:c>
      <x:c r="R44" s="21"/>
    </x:row>
    <x:row r="45">
      <x:c r="A45" s="30"/>
      <x:c r="B45" s="30"/>
      <x:c r="C45" s="21" t="str">
        <x:f>IF(A45="","",TEXT(A45,"yyyy-mm"))</x:f>
      </x:c>
      <x:c r="D45" s="32"/>
      <x:c r="E45" s="32"/>
      <x:c r="F45" s="32"/>
      <x:c r="G45" s="32"/>
      <x:c r="H45" s="32" t="str">
        <x:f>IF(D45="","",D45-E45-F45-G45)</x:f>
      </x:c>
      <x:c r="I45" s="32" t="str">
        <x:f>IF(OR(A45="",B45=""),"",SUMIFS('Invoice Log'!$J$5:$J$104,'Invoice Log'!$B$5:$B$104,"&gt;="&amp;A45,'Invoice Log'!$B$5:$B$104,"&lt;="&amp;B45,'Invoice Log'!$K$5:$K$104,"Yes"))</x:f>
      </x:c>
      <x:c r="J45" s="36" t="str">
        <x:f>IFERROR(I45/H45,"")</x:f>
      </x:c>
      <x:c r="K45" s="32" t="str">
        <x:f>IF(H45="","",H45-I45)</x:f>
      </x:c>
      <x:c r="L45" s="32" t="str">
        <x:f>IFERROR(K45/H45,"")</x:f>
      </x:c>
      <x:c r="M45" s="32"/>
      <x:c r="N45" s="32"/>
      <x:c r="O45" s="32" t="str">
        <x:f>IF(OR(M45="",N45=""),"",M45+I45-N45)</x:f>
      </x:c>
      <x:c r="P45" s="36" t="str">
        <x:f>IFERROR(O45/H45,"")</x:f>
      </x:c>
      <x:c r="Q45" s="36" t="str">
        <x:f>IFERROR((H45-O45)/H45,"")</x:f>
      </x:c>
      <x:c r="R45" s="21"/>
    </x:row>
    <x:row r="46">
      <x:c r="A46" s="30"/>
      <x:c r="B46" s="30"/>
      <x:c r="C46" s="21" t="str">
        <x:f>IF(A46="","",TEXT(A46,"yyyy-mm"))</x:f>
      </x:c>
      <x:c r="D46" s="32"/>
      <x:c r="E46" s="32"/>
      <x:c r="F46" s="32"/>
      <x:c r="G46" s="32"/>
      <x:c r="H46" s="32" t="str">
        <x:f>IF(D46="","",D46-E46-F46-G46)</x:f>
      </x:c>
      <x:c r="I46" s="32" t="str">
        <x:f>IF(OR(A46="",B46=""),"",SUMIFS('Invoice Log'!$J$5:$J$104,'Invoice Log'!$B$5:$B$104,"&gt;="&amp;A46,'Invoice Log'!$B$5:$B$104,"&lt;="&amp;B46,'Invoice Log'!$K$5:$K$104,"Yes"))</x:f>
      </x:c>
      <x:c r="J46" s="36" t="str">
        <x:f>IFERROR(I46/H46,"")</x:f>
      </x:c>
      <x:c r="K46" s="32" t="str">
        <x:f>IF(H46="","",H46-I46)</x:f>
      </x:c>
      <x:c r="L46" s="32" t="str">
        <x:f>IFERROR(K46/H46,"")</x:f>
      </x:c>
      <x:c r="M46" s="32"/>
      <x:c r="N46" s="32"/>
      <x:c r="O46" s="32" t="str">
        <x:f>IF(OR(M46="",N46=""),"",M46+I46-N46)</x:f>
      </x:c>
      <x:c r="P46" s="36" t="str">
        <x:f>IFERROR(O46/H46,"")</x:f>
      </x:c>
      <x:c r="Q46" s="36" t="str">
        <x:f>IFERROR((H46-O46)/H46,"")</x:f>
      </x:c>
      <x:c r="R46" s="21"/>
    </x:row>
    <x:row r="47">
      <x:c r="A47" s="30"/>
      <x:c r="B47" s="30"/>
      <x:c r="C47" s="21" t="str">
        <x:f>IF(A47="","",TEXT(A47,"yyyy-mm"))</x:f>
      </x:c>
      <x:c r="D47" s="32"/>
      <x:c r="E47" s="32"/>
      <x:c r="F47" s="32"/>
      <x:c r="G47" s="32"/>
      <x:c r="H47" s="32" t="str">
        <x:f>IF(D47="","",D47-E47-F47-G47)</x:f>
      </x:c>
      <x:c r="I47" s="32" t="str">
        <x:f>IF(OR(A47="",B47=""),"",SUMIFS('Invoice Log'!$J$5:$J$104,'Invoice Log'!$B$5:$B$104,"&gt;="&amp;A47,'Invoice Log'!$B$5:$B$104,"&lt;="&amp;B47,'Invoice Log'!$K$5:$K$104,"Yes"))</x:f>
      </x:c>
      <x:c r="J47" s="36" t="str">
        <x:f>IFERROR(I47/H47,"")</x:f>
      </x:c>
      <x:c r="K47" s="32" t="str">
        <x:f>IF(H47="","",H47-I47)</x:f>
      </x:c>
      <x:c r="L47" s="32" t="str">
        <x:f>IFERROR(K47/H47,"")</x:f>
      </x:c>
      <x:c r="M47" s="32"/>
      <x:c r="N47" s="32"/>
      <x:c r="O47" s="32" t="str">
        <x:f>IF(OR(M47="",N47=""),"",M47+I47-N47)</x:f>
      </x:c>
      <x:c r="P47" s="36" t="str">
        <x:f>IFERROR(O47/H47,"")</x:f>
      </x:c>
      <x:c r="Q47" s="36" t="str">
        <x:f>IFERROR((H47-O47)/H47,"")</x:f>
      </x:c>
      <x:c r="R47" s="21"/>
    </x:row>
    <x:row r="48">
      <x:c r="A48" s="30"/>
      <x:c r="B48" s="30"/>
      <x:c r="C48" s="21" t="str">
        <x:f>IF(A48="","",TEXT(A48,"yyyy-mm"))</x:f>
      </x:c>
      <x:c r="D48" s="32"/>
      <x:c r="E48" s="32"/>
      <x:c r="F48" s="32"/>
      <x:c r="G48" s="32"/>
      <x:c r="H48" s="32" t="str">
        <x:f>IF(D48="","",D48-E48-F48-G48)</x:f>
      </x:c>
      <x:c r="I48" s="32" t="str">
        <x:f>IF(OR(A48="",B48=""),"",SUMIFS('Invoice Log'!$J$5:$J$104,'Invoice Log'!$B$5:$B$104,"&gt;="&amp;A48,'Invoice Log'!$B$5:$B$104,"&lt;="&amp;B48,'Invoice Log'!$K$5:$K$104,"Yes"))</x:f>
      </x:c>
      <x:c r="J48" s="36" t="str">
        <x:f>IFERROR(I48/H48,"")</x:f>
      </x:c>
      <x:c r="K48" s="32" t="str">
        <x:f>IF(H48="","",H48-I48)</x:f>
      </x:c>
      <x:c r="L48" s="32" t="str">
        <x:f>IFERROR(K48/H48,"")</x:f>
      </x:c>
      <x:c r="M48" s="32"/>
      <x:c r="N48" s="32"/>
      <x:c r="O48" s="32" t="str">
        <x:f>IF(OR(M48="",N48=""),"",M48+I48-N48)</x:f>
      </x:c>
      <x:c r="P48" s="36" t="str">
        <x:f>IFERROR(O48/H48,"")</x:f>
      </x:c>
      <x:c r="Q48" s="36" t="str">
        <x:f>IFERROR((H48-O48)/H48,"")</x:f>
      </x:c>
      <x:c r="R48" s="21"/>
    </x:row>
    <x:row r="49">
      <x:c r="A49" s="30"/>
      <x:c r="B49" s="30"/>
      <x:c r="C49" s="21" t="str">
        <x:f>IF(A49="","",TEXT(A49,"yyyy-mm"))</x:f>
      </x:c>
      <x:c r="D49" s="32"/>
      <x:c r="E49" s="32"/>
      <x:c r="F49" s="32"/>
      <x:c r="G49" s="32"/>
      <x:c r="H49" s="32" t="str">
        <x:f>IF(D49="","",D49-E49-F49-G49)</x:f>
      </x:c>
      <x:c r="I49" s="32" t="str">
        <x:f>IF(OR(A49="",B49=""),"",SUMIFS('Invoice Log'!$J$5:$J$104,'Invoice Log'!$B$5:$B$104,"&gt;="&amp;A49,'Invoice Log'!$B$5:$B$104,"&lt;="&amp;B49,'Invoice Log'!$K$5:$K$104,"Yes"))</x:f>
      </x:c>
      <x:c r="J49" s="36" t="str">
        <x:f>IFERROR(I49/H49,"")</x:f>
      </x:c>
      <x:c r="K49" s="32" t="str">
        <x:f>IF(H49="","",H49-I49)</x:f>
      </x:c>
      <x:c r="L49" s="32" t="str">
        <x:f>IFERROR(K49/H49,"")</x:f>
      </x:c>
      <x:c r="M49" s="32"/>
      <x:c r="N49" s="32"/>
      <x:c r="O49" s="32" t="str">
        <x:f>IF(OR(M49="",N49=""),"",M49+I49-N49)</x:f>
      </x:c>
      <x:c r="P49" s="36" t="str">
        <x:f>IFERROR(O49/H49,"")</x:f>
      </x:c>
      <x:c r="Q49" s="36" t="str">
        <x:f>IFERROR((H49-O49)/H49,"")</x:f>
      </x:c>
      <x:c r="R49" s="21"/>
    </x:row>
    <x:row r="50">
      <x:c r="A50" s="30"/>
      <x:c r="B50" s="30"/>
      <x:c r="C50" s="21" t="str">
        <x:f>IF(A50="","",TEXT(A50,"yyyy-mm"))</x:f>
      </x:c>
      <x:c r="D50" s="32"/>
      <x:c r="E50" s="32"/>
      <x:c r="F50" s="32"/>
      <x:c r="G50" s="32"/>
      <x:c r="H50" s="32" t="str">
        <x:f>IF(D50="","",D50-E50-F50-G50)</x:f>
      </x:c>
      <x:c r="I50" s="32" t="str">
        <x:f>IF(OR(A50="",B50=""),"",SUMIFS('Invoice Log'!$J$5:$J$104,'Invoice Log'!$B$5:$B$104,"&gt;="&amp;A50,'Invoice Log'!$B$5:$B$104,"&lt;="&amp;B50,'Invoice Log'!$K$5:$K$104,"Yes"))</x:f>
      </x:c>
      <x:c r="J50" s="36" t="str">
        <x:f>IFERROR(I50/H50,"")</x:f>
      </x:c>
      <x:c r="K50" s="32" t="str">
        <x:f>IF(H50="","",H50-I50)</x:f>
      </x:c>
      <x:c r="L50" s="32" t="str">
        <x:f>IFERROR(K50/H50,"")</x:f>
      </x:c>
      <x:c r="M50" s="32"/>
      <x:c r="N50" s="32"/>
      <x:c r="O50" s="32" t="str">
        <x:f>IF(OR(M50="",N50=""),"",M50+I50-N50)</x:f>
      </x:c>
      <x:c r="P50" s="36" t="str">
        <x:f>IFERROR(O50/H50,"")</x:f>
      </x:c>
      <x:c r="Q50" s="36" t="str">
        <x:f>IFERROR((H50-O50)/H50,"")</x:f>
      </x:c>
      <x:c r="R50" s="21"/>
    </x:row>
    <x:row r="51">
      <x:c r="A51" s="30"/>
      <x:c r="B51" s="30"/>
      <x:c r="C51" s="21" t="str">
        <x:f>IF(A51="","",TEXT(A51,"yyyy-mm"))</x:f>
      </x:c>
      <x:c r="D51" s="32"/>
      <x:c r="E51" s="32"/>
      <x:c r="F51" s="32"/>
      <x:c r="G51" s="32"/>
      <x:c r="H51" s="32" t="str">
        <x:f>IF(D51="","",D51-E51-F51-G51)</x:f>
      </x:c>
      <x:c r="I51" s="32" t="str">
        <x:f>IF(OR(A51="",B51=""),"",SUMIFS('Invoice Log'!$J$5:$J$104,'Invoice Log'!$B$5:$B$104,"&gt;="&amp;A51,'Invoice Log'!$B$5:$B$104,"&lt;="&amp;B51,'Invoice Log'!$K$5:$K$104,"Yes"))</x:f>
      </x:c>
      <x:c r="J51" s="36" t="str">
        <x:f>IFERROR(I51/H51,"")</x:f>
      </x:c>
      <x:c r="K51" s="32" t="str">
        <x:f>IF(H51="","",H51-I51)</x:f>
      </x:c>
      <x:c r="L51" s="32" t="str">
        <x:f>IFERROR(K51/H51,"")</x:f>
      </x:c>
      <x:c r="M51" s="32"/>
      <x:c r="N51" s="32"/>
      <x:c r="O51" s="32" t="str">
        <x:f>IF(OR(M51="",N51=""),"",M51+I51-N51)</x:f>
      </x:c>
      <x:c r="P51" s="36" t="str">
        <x:f>IFERROR(O51/H51,"")</x:f>
      </x:c>
      <x:c r="Q51" s="36" t="str">
        <x:f>IFERROR((H51-O51)/H51,"")</x:f>
      </x:c>
      <x:c r="R51" s="21"/>
    </x:row>
    <x:row r="52">
      <x:c r="A52" s="30"/>
      <x:c r="B52" s="30"/>
      <x:c r="C52" s="21" t="str">
        <x:f>IF(A52="","",TEXT(A52,"yyyy-mm"))</x:f>
      </x:c>
      <x:c r="D52" s="32"/>
      <x:c r="E52" s="32"/>
      <x:c r="F52" s="32"/>
      <x:c r="G52" s="32"/>
      <x:c r="H52" s="32" t="str">
        <x:f>IF(D52="","",D52-E52-F52-G52)</x:f>
      </x:c>
      <x:c r="I52" s="32" t="str">
        <x:f>IF(OR(A52="",B52=""),"",SUMIFS('Invoice Log'!$J$5:$J$104,'Invoice Log'!$B$5:$B$104,"&gt;="&amp;A52,'Invoice Log'!$B$5:$B$104,"&lt;="&amp;B52,'Invoice Log'!$K$5:$K$104,"Yes"))</x:f>
      </x:c>
      <x:c r="J52" s="36" t="str">
        <x:f>IFERROR(I52/H52,"")</x:f>
      </x:c>
      <x:c r="K52" s="32" t="str">
        <x:f>IF(H52="","",H52-I52)</x:f>
      </x:c>
      <x:c r="L52" s="32" t="str">
        <x:f>IFERROR(K52/H52,"")</x:f>
      </x:c>
      <x:c r="M52" s="32"/>
      <x:c r="N52" s="32"/>
      <x:c r="O52" s="32" t="str">
        <x:f>IF(OR(M52="",N52=""),"",M52+I52-N52)</x:f>
      </x:c>
      <x:c r="P52" s="36" t="str">
        <x:f>IFERROR(O52/H52,"")</x:f>
      </x:c>
      <x:c r="Q52" s="36" t="str">
        <x:f>IFERROR((H52-O52)/H52,"")</x:f>
      </x:c>
      <x:c r="R52" s="21"/>
    </x:row>
    <x:row r="53">
      <x:c r="A53" s="30"/>
      <x:c r="B53" s="30"/>
      <x:c r="C53" s="21" t="str">
        <x:f>IF(A53="","",TEXT(A53,"yyyy-mm"))</x:f>
      </x:c>
      <x:c r="D53" s="32"/>
      <x:c r="E53" s="32"/>
      <x:c r="F53" s="32"/>
      <x:c r="G53" s="32"/>
      <x:c r="H53" s="32" t="str">
        <x:f>IF(D53="","",D53-E53-F53-G53)</x:f>
      </x:c>
      <x:c r="I53" s="32" t="str">
        <x:f>IF(OR(A53="",B53=""),"",SUMIFS('Invoice Log'!$J$5:$J$104,'Invoice Log'!$B$5:$B$104,"&gt;="&amp;A53,'Invoice Log'!$B$5:$B$104,"&lt;="&amp;B53,'Invoice Log'!$K$5:$K$104,"Yes"))</x:f>
      </x:c>
      <x:c r="J53" s="36" t="str">
        <x:f>IFERROR(I53/H53,"")</x:f>
      </x:c>
      <x:c r="K53" s="32" t="str">
        <x:f>IF(H53="","",H53-I53)</x:f>
      </x:c>
      <x:c r="L53" s="32" t="str">
        <x:f>IFERROR(K53/H53,"")</x:f>
      </x:c>
      <x:c r="M53" s="32"/>
      <x:c r="N53" s="32"/>
      <x:c r="O53" s="32" t="str">
        <x:f>IF(OR(M53="",N53=""),"",M53+I53-N53)</x:f>
      </x:c>
      <x:c r="P53" s="36" t="str">
        <x:f>IFERROR(O53/H53,"")</x:f>
      </x:c>
      <x:c r="Q53" s="36" t="str">
        <x:f>IFERROR((H53-O53)/H53,"")</x:f>
      </x:c>
      <x:c r="R53" s="21"/>
    </x:row>
    <x:row r="54">
      <x:c r="A54" s="30"/>
      <x:c r="B54" s="30"/>
      <x:c r="C54" s="21" t="str">
        <x:f>IF(A54="","",TEXT(A54,"yyyy-mm"))</x:f>
      </x:c>
      <x:c r="D54" s="32"/>
      <x:c r="E54" s="32"/>
      <x:c r="F54" s="32"/>
      <x:c r="G54" s="32"/>
      <x:c r="H54" s="32" t="str">
        <x:f>IF(D54="","",D54-E54-F54-G54)</x:f>
      </x:c>
      <x:c r="I54" s="32" t="str">
        <x:f>IF(OR(A54="",B54=""),"",SUMIFS('Invoice Log'!$J$5:$J$104,'Invoice Log'!$B$5:$B$104,"&gt;="&amp;A54,'Invoice Log'!$B$5:$B$104,"&lt;="&amp;B54,'Invoice Log'!$K$5:$K$104,"Yes"))</x:f>
      </x:c>
      <x:c r="J54" s="36" t="str">
        <x:f>IFERROR(I54/H54,"")</x:f>
      </x:c>
      <x:c r="K54" s="32" t="str">
        <x:f>IF(H54="","",H54-I54)</x:f>
      </x:c>
      <x:c r="L54" s="32" t="str">
        <x:f>IFERROR(K54/H54,"")</x:f>
      </x:c>
      <x:c r="M54" s="32"/>
      <x:c r="N54" s="32"/>
      <x:c r="O54" s="32" t="str">
        <x:f>IF(OR(M54="",N54=""),"",M54+I54-N54)</x:f>
      </x:c>
      <x:c r="P54" s="36" t="str">
        <x:f>IFERROR(O54/H54,"")</x:f>
      </x:c>
      <x:c r="Q54" s="36" t="str">
        <x:f>IFERROR((H54-O54)/H54,"")</x:f>
      </x:c>
      <x:c r="R54" s="21"/>
    </x:row>
    <x:row r="55">
      <x:c r="A55" s="30"/>
      <x:c r="B55" s="30"/>
      <x:c r="C55" s="21" t="str">
        <x:f>IF(A55="","",TEXT(A55,"yyyy-mm"))</x:f>
      </x:c>
      <x:c r="D55" s="32"/>
      <x:c r="E55" s="32"/>
      <x:c r="F55" s="32"/>
      <x:c r="G55" s="32"/>
      <x:c r="H55" s="32" t="str">
        <x:f>IF(D55="","",D55-E55-F55-G55)</x:f>
      </x:c>
      <x:c r="I55" s="32" t="str">
        <x:f>IF(OR(A55="",B55=""),"",SUMIFS('Invoice Log'!$J$5:$J$104,'Invoice Log'!$B$5:$B$104,"&gt;="&amp;A55,'Invoice Log'!$B$5:$B$104,"&lt;="&amp;B55,'Invoice Log'!$K$5:$K$104,"Yes"))</x:f>
      </x:c>
      <x:c r="J55" s="36" t="str">
        <x:f>IFERROR(I55/H55,"")</x:f>
      </x:c>
      <x:c r="K55" s="32" t="str">
        <x:f>IF(H55="","",H55-I55)</x:f>
      </x:c>
      <x:c r="L55" s="32" t="str">
        <x:f>IFERROR(K55/H55,"")</x:f>
      </x:c>
      <x:c r="M55" s="32"/>
      <x:c r="N55" s="32"/>
      <x:c r="O55" s="32" t="str">
        <x:f>IF(OR(M55="",N55=""),"",M55+I55-N55)</x:f>
      </x:c>
      <x:c r="P55" s="36" t="str">
        <x:f>IFERROR(O55/H55,"")</x:f>
      </x:c>
      <x:c r="Q55" s="36" t="str">
        <x:f>IFERROR((H55-O55)/H55,"")</x:f>
      </x:c>
      <x:c r="R55" s="21"/>
    </x:row>
    <x:row r="56">
      <x:c r="A56" s="30"/>
      <x:c r="B56" s="30"/>
      <x:c r="C56" s="21" t="str">
        <x:f>IF(A56="","",TEXT(A56,"yyyy-mm"))</x:f>
      </x:c>
      <x:c r="D56" s="32"/>
      <x:c r="E56" s="32"/>
      <x:c r="F56" s="32"/>
      <x:c r="G56" s="32"/>
      <x:c r="H56" s="32" t="str">
        <x:f>IF(D56="","",D56-E56-F56-G56)</x:f>
      </x:c>
      <x:c r="I56" s="32" t="str">
        <x:f>IF(OR(A56="",B56=""),"",SUMIFS('Invoice Log'!$J$5:$J$104,'Invoice Log'!$B$5:$B$104,"&gt;="&amp;A56,'Invoice Log'!$B$5:$B$104,"&lt;="&amp;B56,'Invoice Log'!$K$5:$K$104,"Yes"))</x:f>
      </x:c>
      <x:c r="J56" s="36" t="str">
        <x:f>IFERROR(I56/H56,"")</x:f>
      </x:c>
      <x:c r="K56" s="32" t="str">
        <x:f>IF(H56="","",H56-I56)</x:f>
      </x:c>
      <x:c r="L56" s="32" t="str">
        <x:f>IFERROR(K56/H56,"")</x:f>
      </x:c>
      <x:c r="M56" s="32"/>
      <x:c r="N56" s="32"/>
      <x:c r="O56" s="32" t="str">
        <x:f>IF(OR(M56="",N56=""),"",M56+I56-N56)</x:f>
      </x:c>
      <x:c r="P56" s="36" t="str">
        <x:f>IFERROR(O56/H56,"")</x:f>
      </x:c>
      <x:c r="Q56" s="36" t="str">
        <x:f>IFERROR((H56-O56)/H56,"")</x:f>
      </x:c>
      <x:c r="R56" s="21"/>
    </x:row>
    <x:row r="57">
      <x:c r="A57" s="30"/>
      <x:c r="B57" s="30"/>
      <x:c r="C57" s="21" t="str">
        <x:f>IF(A57="","",TEXT(A57,"yyyy-mm"))</x:f>
      </x:c>
      <x:c r="D57" s="32"/>
      <x:c r="E57" s="32"/>
      <x:c r="F57" s="32"/>
      <x:c r="G57" s="32"/>
      <x:c r="H57" s="32" t="str">
        <x:f>IF(D57="","",D57-E57-F57-G57)</x:f>
      </x:c>
      <x:c r="I57" s="32" t="str">
        <x:f>IF(OR(A57="",B57=""),"",SUMIFS('Invoice Log'!$J$5:$J$104,'Invoice Log'!$B$5:$B$104,"&gt;="&amp;A57,'Invoice Log'!$B$5:$B$104,"&lt;="&amp;B57,'Invoice Log'!$K$5:$K$104,"Yes"))</x:f>
      </x:c>
      <x:c r="J57" s="36" t="str">
        <x:f>IFERROR(I57/H57,"")</x:f>
      </x:c>
      <x:c r="K57" s="32" t="str">
        <x:f>IF(H57="","",H57-I57)</x:f>
      </x:c>
      <x:c r="L57" s="32" t="str">
        <x:f>IFERROR(K57/H57,"")</x:f>
      </x:c>
      <x:c r="M57" s="32"/>
      <x:c r="N57" s="32"/>
      <x:c r="O57" s="32" t="str">
        <x:f>IF(OR(M57="",N57=""),"",M57+I57-N57)</x:f>
      </x:c>
      <x:c r="P57" s="36" t="str">
        <x:f>IFERROR(O57/H57,"")</x:f>
      </x:c>
      <x:c r="Q57" s="36" t="str">
        <x:f>IFERROR((H57-O57)/H57,"")</x:f>
      </x:c>
      <x:c r="R57" s="21"/>
    </x:row>
    <x:row r="58">
      <x:c r="A58" s="30"/>
      <x:c r="B58" s="30"/>
      <x:c r="C58" s="21" t="str">
        <x:f>IF(A58="","",TEXT(A58,"yyyy-mm"))</x:f>
      </x:c>
      <x:c r="D58" s="32"/>
      <x:c r="E58" s="32"/>
      <x:c r="F58" s="32"/>
      <x:c r="G58" s="32"/>
      <x:c r="H58" s="32" t="str">
        <x:f>IF(D58="","",D58-E58-F58-G58)</x:f>
      </x:c>
      <x:c r="I58" s="32" t="str">
        <x:f>IF(OR(A58="",B58=""),"",SUMIFS('Invoice Log'!$J$5:$J$104,'Invoice Log'!$B$5:$B$104,"&gt;="&amp;A58,'Invoice Log'!$B$5:$B$104,"&lt;="&amp;B58,'Invoice Log'!$K$5:$K$104,"Yes"))</x:f>
      </x:c>
      <x:c r="J58" s="36" t="str">
        <x:f>IFERROR(I58/H58,"")</x:f>
      </x:c>
      <x:c r="K58" s="32" t="str">
        <x:f>IF(H58="","",H58-I58)</x:f>
      </x:c>
      <x:c r="L58" s="32" t="str">
        <x:f>IFERROR(K58/H58,"")</x:f>
      </x:c>
      <x:c r="M58" s="32"/>
      <x:c r="N58" s="32"/>
      <x:c r="O58" s="32" t="str">
        <x:f>IF(OR(M58="",N58=""),"",M58+I58-N58)</x:f>
      </x:c>
      <x:c r="P58" s="36" t="str">
        <x:f>IFERROR(O58/H58,"")</x:f>
      </x:c>
      <x:c r="Q58" s="36" t="str">
        <x:f>IFERROR((H58-O58)/H58,"")</x:f>
      </x:c>
      <x:c r="R58" s="21"/>
    </x:row>
    <x:row r="59">
      <x:c r="A59" s="30"/>
      <x:c r="B59" s="30"/>
      <x:c r="C59" s="21" t="str">
        <x:f>IF(A59="","",TEXT(A59,"yyyy-mm"))</x:f>
      </x:c>
      <x:c r="D59" s="32"/>
      <x:c r="E59" s="32"/>
      <x:c r="F59" s="32"/>
      <x:c r="G59" s="32"/>
      <x:c r="H59" s="32" t="str">
        <x:f>IF(D59="","",D59-E59-F59-G59)</x:f>
      </x:c>
      <x:c r="I59" s="32" t="str">
        <x:f>IF(OR(A59="",B59=""),"",SUMIFS('Invoice Log'!$J$5:$J$104,'Invoice Log'!$B$5:$B$104,"&gt;="&amp;A59,'Invoice Log'!$B$5:$B$104,"&lt;="&amp;B59,'Invoice Log'!$K$5:$K$104,"Yes"))</x:f>
      </x:c>
      <x:c r="J59" s="36" t="str">
        <x:f>IFERROR(I59/H59,"")</x:f>
      </x:c>
      <x:c r="K59" s="32" t="str">
        <x:f>IF(H59="","",H59-I59)</x:f>
      </x:c>
      <x:c r="L59" s="32" t="str">
        <x:f>IFERROR(K59/H59,"")</x:f>
      </x:c>
      <x:c r="M59" s="32"/>
      <x:c r="N59" s="32"/>
      <x:c r="O59" s="32" t="str">
        <x:f>IF(OR(M59="",N59=""),"",M59+I59-N59)</x:f>
      </x:c>
      <x:c r="P59" s="36" t="str">
        <x:f>IFERROR(O59/H59,"")</x:f>
      </x:c>
      <x:c r="Q59" s="36" t="str">
        <x:f>IFERROR((H59-O59)/H59,"")</x:f>
      </x:c>
      <x:c r="R59" s="21"/>
    </x:row>
    <x:row r="60">
      <x:c r="A60" s="30"/>
      <x:c r="B60" s="30"/>
      <x:c r="C60" s="21" t="str">
        <x:f>IF(A60="","",TEXT(A60,"yyyy-mm"))</x:f>
      </x:c>
      <x:c r="D60" s="32"/>
      <x:c r="E60" s="32"/>
      <x:c r="F60" s="32"/>
      <x:c r="G60" s="32"/>
      <x:c r="H60" s="32" t="str">
        <x:f>IF(D60="","",D60-E60-F60-G60)</x:f>
      </x:c>
      <x:c r="I60" s="32" t="str">
        <x:f>IF(OR(A60="",B60=""),"",SUMIFS('Invoice Log'!$J$5:$J$104,'Invoice Log'!$B$5:$B$104,"&gt;="&amp;A60,'Invoice Log'!$B$5:$B$104,"&lt;="&amp;B60,'Invoice Log'!$K$5:$K$104,"Yes"))</x:f>
      </x:c>
      <x:c r="J60" s="36" t="str">
        <x:f>IFERROR(I60/H60,"")</x:f>
      </x:c>
      <x:c r="K60" s="32" t="str">
        <x:f>IF(H60="","",H60-I60)</x:f>
      </x:c>
      <x:c r="L60" s="32" t="str">
        <x:f>IFERROR(K60/H60,"")</x:f>
      </x:c>
      <x:c r="M60" s="32"/>
      <x:c r="N60" s="32"/>
      <x:c r="O60" s="32" t="str">
        <x:f>IF(OR(M60="",N60=""),"",M60+I60-N60)</x:f>
      </x:c>
      <x:c r="P60" s="36" t="str">
        <x:f>IFERROR(O60/H60,"")</x:f>
      </x:c>
      <x:c r="Q60" s="36" t="str">
        <x:f>IFERROR((H60-O60)/H60,"")</x:f>
      </x:c>
      <x:c r="R60" s="21"/>
    </x:row>
    <x:row r="61">
      <x:c r="A61" s="30"/>
      <x:c r="B61" s="30"/>
      <x:c r="C61" s="21" t="str">
        <x:f>IF(A61="","",TEXT(A61,"yyyy-mm"))</x:f>
      </x:c>
      <x:c r="D61" s="32"/>
      <x:c r="E61" s="32"/>
      <x:c r="F61" s="32"/>
      <x:c r="G61" s="32"/>
      <x:c r="H61" s="32" t="str">
        <x:f>IF(D61="","",D61-E61-F61-G61)</x:f>
      </x:c>
      <x:c r="I61" s="32" t="str">
        <x:f>IF(OR(A61="",B61=""),"",SUMIFS('Invoice Log'!$J$5:$J$104,'Invoice Log'!$B$5:$B$104,"&gt;="&amp;A61,'Invoice Log'!$B$5:$B$104,"&lt;="&amp;B61,'Invoice Log'!$K$5:$K$104,"Yes"))</x:f>
      </x:c>
      <x:c r="J61" s="36" t="str">
        <x:f>IFERROR(I61/H61,"")</x:f>
      </x:c>
      <x:c r="K61" s="32" t="str">
        <x:f>IF(H61="","",H61-I61)</x:f>
      </x:c>
      <x:c r="L61" s="32" t="str">
        <x:f>IFERROR(K61/H61,"")</x:f>
      </x:c>
      <x:c r="M61" s="32"/>
      <x:c r="N61" s="32"/>
      <x:c r="O61" s="32" t="str">
        <x:f>IF(OR(M61="",N61=""),"",M61+I61-N61)</x:f>
      </x:c>
      <x:c r="P61" s="36" t="str">
        <x:f>IFERROR(O61/H61,"")</x:f>
      </x:c>
      <x:c r="Q61" s="36" t="str">
        <x:f>IFERROR((H61-O61)/H61,"")</x:f>
      </x:c>
      <x:c r="R61" s="21"/>
    </x:row>
    <x:row r="62">
      <x:c r="A62" s="30"/>
      <x:c r="B62" s="30"/>
      <x:c r="C62" s="21" t="str">
        <x:f>IF(A62="","",TEXT(A62,"yyyy-mm"))</x:f>
      </x:c>
      <x:c r="D62" s="32"/>
      <x:c r="E62" s="32"/>
      <x:c r="F62" s="32"/>
      <x:c r="G62" s="32"/>
      <x:c r="H62" s="32" t="str">
        <x:f>IF(D62="","",D62-E62-F62-G62)</x:f>
      </x:c>
      <x:c r="I62" s="32" t="str">
        <x:f>IF(OR(A62="",B62=""),"",SUMIFS('Invoice Log'!$J$5:$J$104,'Invoice Log'!$B$5:$B$104,"&gt;="&amp;A62,'Invoice Log'!$B$5:$B$104,"&lt;="&amp;B62,'Invoice Log'!$K$5:$K$104,"Yes"))</x:f>
      </x:c>
      <x:c r="J62" s="36" t="str">
        <x:f>IFERROR(I62/H62,"")</x:f>
      </x:c>
      <x:c r="K62" s="32" t="str">
        <x:f>IF(H62="","",H62-I62)</x:f>
      </x:c>
      <x:c r="L62" s="32" t="str">
        <x:f>IFERROR(K62/H62,"")</x:f>
      </x:c>
      <x:c r="M62" s="32"/>
      <x:c r="N62" s="32"/>
      <x:c r="O62" s="32" t="str">
        <x:f>IF(OR(M62="",N62=""),"",M62+I62-N62)</x:f>
      </x:c>
      <x:c r="P62" s="36" t="str">
        <x:f>IFERROR(O62/H62,"")</x:f>
      </x:c>
      <x:c r="Q62" s="36" t="str">
        <x:f>IFERROR((H62-O62)/H62,"")</x:f>
      </x:c>
      <x:c r="R62" s="21"/>
    </x:row>
    <x:row r="63">
      <x:c r="A63" s="30"/>
      <x:c r="B63" s="30"/>
      <x:c r="C63" s="21" t="str">
        <x:f>IF(A63="","",TEXT(A63,"yyyy-mm"))</x:f>
      </x:c>
      <x:c r="D63" s="32"/>
      <x:c r="E63" s="32"/>
      <x:c r="F63" s="32"/>
      <x:c r="G63" s="32"/>
      <x:c r="H63" s="32" t="str">
        <x:f>IF(D63="","",D63-E63-F63-G63)</x:f>
      </x:c>
      <x:c r="I63" s="32" t="str">
        <x:f>IF(OR(A63="",B63=""),"",SUMIFS('Invoice Log'!$J$5:$J$104,'Invoice Log'!$B$5:$B$104,"&gt;="&amp;A63,'Invoice Log'!$B$5:$B$104,"&lt;="&amp;B63,'Invoice Log'!$K$5:$K$104,"Yes"))</x:f>
      </x:c>
      <x:c r="J63" s="36" t="str">
        <x:f>IFERROR(I63/H63,"")</x:f>
      </x:c>
      <x:c r="K63" s="32" t="str">
        <x:f>IF(H63="","",H63-I63)</x:f>
      </x:c>
      <x:c r="L63" s="32" t="str">
        <x:f>IFERROR(K63/H63,"")</x:f>
      </x:c>
      <x:c r="M63" s="32"/>
      <x:c r="N63" s="32"/>
      <x:c r="O63" s="32" t="str">
        <x:f>IF(OR(M63="",N63=""),"",M63+I63-N63)</x:f>
      </x:c>
      <x:c r="P63" s="36" t="str">
        <x:f>IFERROR(O63/H63,"")</x:f>
      </x:c>
      <x:c r="Q63" s="36" t="str">
        <x:f>IFERROR((H63-O63)/H63,"")</x:f>
      </x:c>
      <x:c r="R63" s="21"/>
    </x:row>
    <x:row r="64">
      <x:c r="A64" s="30"/>
      <x:c r="B64" s="30"/>
      <x:c r="C64" s="21" t="str">
        <x:f>IF(A64="","",TEXT(A64,"yyyy-mm"))</x:f>
      </x:c>
      <x:c r="D64" s="32"/>
      <x:c r="E64" s="32"/>
      <x:c r="F64" s="32"/>
      <x:c r="G64" s="32"/>
      <x:c r="H64" s="32" t="str">
        <x:f>IF(D64="","",D64-E64-F64-G64)</x:f>
      </x:c>
      <x:c r="I64" s="32" t="str">
        <x:f>IF(OR(A64="",B64=""),"",SUMIFS('Invoice Log'!$J$5:$J$104,'Invoice Log'!$B$5:$B$104,"&gt;="&amp;A64,'Invoice Log'!$B$5:$B$104,"&lt;="&amp;B64,'Invoice Log'!$K$5:$K$104,"Yes"))</x:f>
      </x:c>
      <x:c r="J64" s="36" t="str">
        <x:f>IFERROR(I64/H64,"")</x:f>
      </x:c>
      <x:c r="K64" s="32" t="str">
        <x:f>IF(H64="","",H64-I64)</x:f>
      </x:c>
      <x:c r="L64" s="32" t="str">
        <x:f>IFERROR(K64/H64,"")</x:f>
      </x:c>
      <x:c r="M64" s="32"/>
      <x:c r="N64" s="32"/>
      <x:c r="O64" s="32" t="str">
        <x:f>IF(OR(M64="",N64=""),"",M64+I64-N64)</x:f>
      </x:c>
      <x:c r="P64" s="36" t="str">
        <x:f>IFERROR(O64/H64,"")</x:f>
      </x:c>
      <x:c r="Q64" s="36" t="str">
        <x:f>IFERROR((H64-O64)/H64,"")</x:f>
      </x:c>
      <x:c r="R64" s="21"/>
    </x:row>
    <x:row r="65">
      <x:c r="A65" s="30"/>
      <x:c r="B65" s="30"/>
      <x:c r="C65" s="21" t="str">
        <x:f>IF(A65="","",TEXT(A65,"yyyy-mm"))</x:f>
      </x:c>
      <x:c r="D65" s="32"/>
      <x:c r="E65" s="32"/>
      <x:c r="F65" s="32"/>
      <x:c r="G65" s="32"/>
      <x:c r="H65" s="32" t="str">
        <x:f>IF(D65="","",D65-E65-F65-G65)</x:f>
      </x:c>
      <x:c r="I65" s="32" t="str">
        <x:f>IF(OR(A65="",B65=""),"",SUMIFS('Invoice Log'!$J$5:$J$104,'Invoice Log'!$B$5:$B$104,"&gt;="&amp;A65,'Invoice Log'!$B$5:$B$104,"&lt;="&amp;B65,'Invoice Log'!$K$5:$K$104,"Yes"))</x:f>
      </x:c>
      <x:c r="J65" s="36" t="str">
        <x:f>IFERROR(I65/H65,"")</x:f>
      </x:c>
      <x:c r="K65" s="32" t="str">
        <x:f>IF(H65="","",H65-I65)</x:f>
      </x:c>
      <x:c r="L65" s="32" t="str">
        <x:f>IFERROR(K65/H65,"")</x:f>
      </x:c>
      <x:c r="M65" s="32"/>
      <x:c r="N65" s="32"/>
      <x:c r="O65" s="32" t="str">
        <x:f>IF(OR(M65="",N65=""),"",M65+I65-N65)</x:f>
      </x:c>
      <x:c r="P65" s="36" t="str">
        <x:f>IFERROR(O65/H65,"")</x:f>
      </x:c>
      <x:c r="Q65" s="36" t="str">
        <x:f>IFERROR((H65-O65)/H65,"")</x:f>
      </x:c>
      <x:c r="R65" s="21"/>
    </x:row>
    <x:row r="66">
      <x:c r="A66" s="30"/>
      <x:c r="B66" s="30"/>
      <x:c r="C66" s="21" t="str">
        <x:f>IF(A66="","",TEXT(A66,"yyyy-mm"))</x:f>
      </x:c>
      <x:c r="D66" s="32"/>
      <x:c r="E66" s="32"/>
      <x:c r="F66" s="32"/>
      <x:c r="G66" s="32"/>
      <x:c r="H66" s="32" t="str">
        <x:f>IF(D66="","",D66-E66-F66-G66)</x:f>
      </x:c>
      <x:c r="I66" s="32" t="str">
        <x:f>IF(OR(A66="",B66=""),"",SUMIFS('Invoice Log'!$J$5:$J$104,'Invoice Log'!$B$5:$B$104,"&gt;="&amp;A66,'Invoice Log'!$B$5:$B$104,"&lt;="&amp;B66,'Invoice Log'!$K$5:$K$104,"Yes"))</x:f>
      </x:c>
      <x:c r="J66" s="36" t="str">
        <x:f>IFERROR(I66/H66,"")</x:f>
      </x:c>
      <x:c r="K66" s="32" t="str">
        <x:f>IF(H66="","",H66-I66)</x:f>
      </x:c>
      <x:c r="L66" s="32" t="str">
        <x:f>IFERROR(K66/H66,"")</x:f>
      </x:c>
      <x:c r="M66" s="32"/>
      <x:c r="N66" s="32"/>
      <x:c r="O66" s="32" t="str">
        <x:f>IF(OR(M66="",N66=""),"",M66+I66-N66)</x:f>
      </x:c>
      <x:c r="P66" s="36" t="str">
        <x:f>IFERROR(O66/H66,"")</x:f>
      </x:c>
      <x:c r="Q66" s="36" t="str">
        <x:f>IFERROR((H66-O66)/H66,"")</x:f>
      </x:c>
      <x:c r="R66" s="21"/>
    </x:row>
    <x:row r="67">
      <x:c r="A67" s="30"/>
      <x:c r="B67" s="30"/>
      <x:c r="C67" s="21" t="str">
        <x:f>IF(A67="","",TEXT(A67,"yyyy-mm"))</x:f>
      </x:c>
      <x:c r="D67" s="32"/>
      <x:c r="E67" s="32"/>
      <x:c r="F67" s="32"/>
      <x:c r="G67" s="32"/>
      <x:c r="H67" s="32" t="str">
        <x:f>IF(D67="","",D67-E67-F67-G67)</x:f>
      </x:c>
      <x:c r="I67" s="32" t="str">
        <x:f>IF(OR(A67="",B67=""),"",SUMIFS('Invoice Log'!$J$5:$J$104,'Invoice Log'!$B$5:$B$104,"&gt;="&amp;A67,'Invoice Log'!$B$5:$B$104,"&lt;="&amp;B67,'Invoice Log'!$K$5:$K$104,"Yes"))</x:f>
      </x:c>
      <x:c r="J67" s="36" t="str">
        <x:f>IFERROR(I67/H67,"")</x:f>
      </x:c>
      <x:c r="K67" s="32" t="str">
        <x:f>IF(H67="","",H67-I67)</x:f>
      </x:c>
      <x:c r="L67" s="32" t="str">
        <x:f>IFERROR(K67/H67,"")</x:f>
      </x:c>
      <x:c r="M67" s="32"/>
      <x:c r="N67" s="32"/>
      <x:c r="O67" s="32" t="str">
        <x:f>IF(OR(M67="",N67=""),"",M67+I67-N67)</x:f>
      </x:c>
      <x:c r="P67" s="36" t="str">
        <x:f>IFERROR(O67/H67,"")</x:f>
      </x:c>
      <x:c r="Q67" s="36" t="str">
        <x:f>IFERROR((H67-O67)/H67,"")</x:f>
      </x:c>
      <x:c r="R67" s="21"/>
    </x:row>
    <x:row r="68">
      <x:c r="A68" s="30"/>
      <x:c r="B68" s="30"/>
      <x:c r="C68" s="21" t="str">
        <x:f>IF(A68="","",TEXT(A68,"yyyy-mm"))</x:f>
      </x:c>
      <x:c r="D68" s="32"/>
      <x:c r="E68" s="32"/>
      <x:c r="F68" s="32"/>
      <x:c r="G68" s="32"/>
      <x:c r="H68" s="32" t="str">
        <x:f>IF(D68="","",D68-E68-F68-G68)</x:f>
      </x:c>
      <x:c r="I68" s="32" t="str">
        <x:f>IF(OR(A68="",B68=""),"",SUMIFS('Invoice Log'!$J$5:$J$104,'Invoice Log'!$B$5:$B$104,"&gt;="&amp;A68,'Invoice Log'!$B$5:$B$104,"&lt;="&amp;B68,'Invoice Log'!$K$5:$K$104,"Yes"))</x:f>
      </x:c>
      <x:c r="J68" s="36" t="str">
        <x:f>IFERROR(I68/H68,"")</x:f>
      </x:c>
      <x:c r="K68" s="32" t="str">
        <x:f>IF(H68="","",H68-I68)</x:f>
      </x:c>
      <x:c r="L68" s="32" t="str">
        <x:f>IFERROR(K68/H68,"")</x:f>
      </x:c>
      <x:c r="M68" s="32"/>
      <x:c r="N68" s="32"/>
      <x:c r="O68" s="32" t="str">
        <x:f>IF(OR(M68="",N68=""),"",M68+I68-N68)</x:f>
      </x:c>
      <x:c r="P68" s="36" t="str">
        <x:f>IFERROR(O68/H68,"")</x:f>
      </x:c>
      <x:c r="Q68" s="36" t="str">
        <x:f>IFERROR((H68-O68)/H68,"")</x:f>
      </x:c>
      <x:c r="R68" s="21"/>
    </x:row>
    <x:row r="69">
      <x:c r="A69" s="30"/>
      <x:c r="B69" s="30"/>
      <x:c r="C69" s="21" t="str">
        <x:f>IF(A69="","",TEXT(A69,"yyyy-mm"))</x:f>
      </x:c>
      <x:c r="D69" s="32"/>
      <x:c r="E69" s="32"/>
      <x:c r="F69" s="32"/>
      <x:c r="G69" s="32"/>
      <x:c r="H69" s="32" t="str">
        <x:f>IF(D69="","",D69-E69-F69-G69)</x:f>
      </x:c>
      <x:c r="I69" s="32" t="str">
        <x:f>IF(OR(A69="",B69=""),"",SUMIFS('Invoice Log'!$J$5:$J$104,'Invoice Log'!$B$5:$B$104,"&gt;="&amp;A69,'Invoice Log'!$B$5:$B$104,"&lt;="&amp;B69,'Invoice Log'!$K$5:$K$104,"Yes"))</x:f>
      </x:c>
      <x:c r="J69" s="36" t="str">
        <x:f>IFERROR(I69/H69,"")</x:f>
      </x:c>
      <x:c r="K69" s="32" t="str">
        <x:f>IF(H69="","",H69-I69)</x:f>
      </x:c>
      <x:c r="L69" s="32" t="str">
        <x:f>IFERROR(K69/H69,"")</x:f>
      </x:c>
      <x:c r="M69" s="32"/>
      <x:c r="N69" s="32"/>
      <x:c r="O69" s="32" t="str">
        <x:f>IF(OR(M69="",N69=""),"",M69+I69-N69)</x:f>
      </x:c>
      <x:c r="P69" s="36" t="str">
        <x:f>IFERROR(O69/H69,"")</x:f>
      </x:c>
      <x:c r="Q69" s="36" t="str">
        <x:f>IFERROR((H69-O69)/H69,"")</x:f>
      </x:c>
      <x:c r="R69" s="21"/>
    </x:row>
    <x:row r="70">
      <x:c r="A70" s="30"/>
      <x:c r="B70" s="30"/>
      <x:c r="C70" s="21" t="str">
        <x:f>IF(A70="","",TEXT(A70,"yyyy-mm"))</x:f>
      </x:c>
      <x:c r="D70" s="32"/>
      <x:c r="E70" s="32"/>
      <x:c r="F70" s="32"/>
      <x:c r="G70" s="32"/>
      <x:c r="H70" s="32" t="str">
        <x:f>IF(D70="","",D70-E70-F70-G70)</x:f>
      </x:c>
      <x:c r="I70" s="32" t="str">
        <x:f>IF(OR(A70="",B70=""),"",SUMIFS('Invoice Log'!$J$5:$J$104,'Invoice Log'!$B$5:$B$104,"&gt;="&amp;A70,'Invoice Log'!$B$5:$B$104,"&lt;="&amp;B70,'Invoice Log'!$K$5:$K$104,"Yes"))</x:f>
      </x:c>
      <x:c r="J70" s="36" t="str">
        <x:f>IFERROR(I70/H70,"")</x:f>
      </x:c>
      <x:c r="K70" s="32" t="str">
        <x:f>IF(H70="","",H70-I70)</x:f>
      </x:c>
      <x:c r="L70" s="32" t="str">
        <x:f>IFERROR(K70/H70,"")</x:f>
      </x:c>
      <x:c r="M70" s="32"/>
      <x:c r="N70" s="32"/>
      <x:c r="O70" s="32" t="str">
        <x:f>IF(OR(M70="",N70=""),"",M70+I70-N70)</x:f>
      </x:c>
      <x:c r="P70" s="36" t="str">
        <x:f>IFERROR(O70/H70,"")</x:f>
      </x:c>
      <x:c r="Q70" s="36" t="str">
        <x:f>IFERROR((H70-O70)/H70,"")</x:f>
      </x:c>
      <x:c r="R70" s="21"/>
    </x:row>
    <x:row r="71">
      <x:c r="A71" s="30"/>
      <x:c r="B71" s="30"/>
      <x:c r="C71" s="21" t="str">
        <x:f>IF(A71="","",TEXT(A71,"yyyy-mm"))</x:f>
      </x:c>
      <x:c r="D71" s="32"/>
      <x:c r="E71" s="32"/>
      <x:c r="F71" s="32"/>
      <x:c r="G71" s="32"/>
      <x:c r="H71" s="32" t="str">
        <x:f>IF(D71="","",D71-E71-F71-G71)</x:f>
      </x:c>
      <x:c r="I71" s="32" t="str">
        <x:f>IF(OR(A71="",B71=""),"",SUMIFS('Invoice Log'!$J$5:$J$104,'Invoice Log'!$B$5:$B$104,"&gt;="&amp;A71,'Invoice Log'!$B$5:$B$104,"&lt;="&amp;B71,'Invoice Log'!$K$5:$K$104,"Yes"))</x:f>
      </x:c>
      <x:c r="J71" s="36" t="str">
        <x:f>IFERROR(I71/H71,"")</x:f>
      </x:c>
      <x:c r="K71" s="32" t="str">
        <x:f>IF(H71="","",H71-I71)</x:f>
      </x:c>
      <x:c r="L71" s="32" t="str">
        <x:f>IFERROR(K71/H71,"")</x:f>
      </x:c>
      <x:c r="M71" s="32"/>
      <x:c r="N71" s="32"/>
      <x:c r="O71" s="32" t="str">
        <x:f>IF(OR(M71="",N71=""),"",M71+I71-N71)</x:f>
      </x:c>
      <x:c r="P71" s="36" t="str">
        <x:f>IFERROR(O71/H71,"")</x:f>
      </x:c>
      <x:c r="Q71" s="36" t="str">
        <x:f>IFERROR((H71-O71)/H71,"")</x:f>
      </x:c>
      <x:c r="R71" s="21"/>
    </x:row>
    <x:row r="72">
      <x:c r="A72" s="30"/>
      <x:c r="B72" s="30"/>
      <x:c r="C72" s="21" t="str">
        <x:f>IF(A72="","",TEXT(A72,"yyyy-mm"))</x:f>
      </x:c>
      <x:c r="D72" s="32"/>
      <x:c r="E72" s="32"/>
      <x:c r="F72" s="32"/>
      <x:c r="G72" s="32"/>
      <x:c r="H72" s="32" t="str">
        <x:f>IF(D72="","",D72-E72-F72-G72)</x:f>
      </x:c>
      <x:c r="I72" s="32" t="str">
        <x:f>IF(OR(A72="",B72=""),"",SUMIFS('Invoice Log'!$J$5:$J$104,'Invoice Log'!$B$5:$B$104,"&gt;="&amp;A72,'Invoice Log'!$B$5:$B$104,"&lt;="&amp;B72,'Invoice Log'!$K$5:$K$104,"Yes"))</x:f>
      </x:c>
      <x:c r="J72" s="36" t="str">
        <x:f>IFERROR(I72/H72,"")</x:f>
      </x:c>
      <x:c r="K72" s="32" t="str">
        <x:f>IF(H72="","",H72-I72)</x:f>
      </x:c>
      <x:c r="L72" s="32" t="str">
        <x:f>IFERROR(K72/H72,"")</x:f>
      </x:c>
      <x:c r="M72" s="32"/>
      <x:c r="N72" s="32"/>
      <x:c r="O72" s="32" t="str">
        <x:f>IF(OR(M72="",N72=""),"",M72+I72-N72)</x:f>
      </x:c>
      <x:c r="P72" s="36" t="str">
        <x:f>IFERROR(O72/H72,"")</x:f>
      </x:c>
      <x:c r="Q72" s="36" t="str">
        <x:f>IFERROR((H72-O72)/H72,"")</x:f>
      </x:c>
      <x:c r="R72" s="21"/>
    </x:row>
    <x:row r="73">
      <x:c r="A73" s="30"/>
      <x:c r="B73" s="30"/>
      <x:c r="C73" s="21" t="str">
        <x:f>IF(A73="","",TEXT(A73,"yyyy-mm"))</x:f>
      </x:c>
      <x:c r="D73" s="32"/>
      <x:c r="E73" s="32"/>
      <x:c r="F73" s="32"/>
      <x:c r="G73" s="32"/>
      <x:c r="H73" s="32" t="str">
        <x:f>IF(D73="","",D73-E73-F73-G73)</x:f>
      </x:c>
      <x:c r="I73" s="32" t="str">
        <x:f>IF(OR(A73="",B73=""),"",SUMIFS('Invoice Log'!$J$5:$J$104,'Invoice Log'!$B$5:$B$104,"&gt;="&amp;A73,'Invoice Log'!$B$5:$B$104,"&lt;="&amp;B73,'Invoice Log'!$K$5:$K$104,"Yes"))</x:f>
      </x:c>
      <x:c r="J73" s="36" t="str">
        <x:f>IFERROR(I73/H73,"")</x:f>
      </x:c>
      <x:c r="K73" s="32" t="str">
        <x:f>IF(H73="","",H73-I73)</x:f>
      </x:c>
      <x:c r="L73" s="32" t="str">
        <x:f>IFERROR(K73/H73,"")</x:f>
      </x:c>
      <x:c r="M73" s="32"/>
      <x:c r="N73" s="32"/>
      <x:c r="O73" s="32" t="str">
        <x:f>IF(OR(M73="",N73=""),"",M73+I73-N73)</x:f>
      </x:c>
      <x:c r="P73" s="36" t="str">
        <x:f>IFERROR(O73/H73,"")</x:f>
      </x:c>
      <x:c r="Q73" s="36" t="str">
        <x:f>IFERROR((H73-O73)/H73,"")</x:f>
      </x:c>
      <x:c r="R73" s="21"/>
    </x:row>
    <x:row r="74">
      <x:c r="A74" s="30"/>
      <x:c r="B74" s="30"/>
      <x:c r="C74" s="21" t="str">
        <x:f>IF(A74="","",TEXT(A74,"yyyy-mm"))</x:f>
      </x:c>
      <x:c r="D74" s="32"/>
      <x:c r="E74" s="32"/>
      <x:c r="F74" s="32"/>
      <x:c r="G74" s="32"/>
      <x:c r="H74" s="32" t="str">
        <x:f>IF(D74="","",D74-E74-F74-G74)</x:f>
      </x:c>
      <x:c r="I74" s="32" t="str">
        <x:f>IF(OR(A74="",B74=""),"",SUMIFS('Invoice Log'!$J$5:$J$104,'Invoice Log'!$B$5:$B$104,"&gt;="&amp;A74,'Invoice Log'!$B$5:$B$104,"&lt;="&amp;B74,'Invoice Log'!$K$5:$K$104,"Yes"))</x:f>
      </x:c>
      <x:c r="J74" s="36" t="str">
        <x:f>IFERROR(I74/H74,"")</x:f>
      </x:c>
      <x:c r="K74" s="32" t="str">
        <x:f>IF(H74="","",H74-I74)</x:f>
      </x:c>
      <x:c r="L74" s="32" t="str">
        <x:f>IFERROR(K74/H74,"")</x:f>
      </x:c>
      <x:c r="M74" s="32"/>
      <x:c r="N74" s="32"/>
      <x:c r="O74" s="32" t="str">
        <x:f>IF(OR(M74="",N74=""),"",M74+I74-N74)</x:f>
      </x:c>
      <x:c r="P74" s="36" t="str">
        <x:f>IFERROR(O74/H74,"")</x:f>
      </x:c>
      <x:c r="Q74" s="36" t="str">
        <x:f>IFERROR((H74-O74)/H74,"")</x:f>
      </x:c>
      <x:c r="R74" s="21"/>
    </x:row>
    <x:row r="75">
      <x:c r="A75" s="30"/>
      <x:c r="B75" s="30"/>
      <x:c r="C75" s="21" t="str">
        <x:f>IF(A75="","",TEXT(A75,"yyyy-mm"))</x:f>
      </x:c>
      <x:c r="D75" s="32"/>
      <x:c r="E75" s="32"/>
      <x:c r="F75" s="32"/>
      <x:c r="G75" s="32"/>
      <x:c r="H75" s="32" t="str">
        <x:f>IF(D75="","",D75-E75-F75-G75)</x:f>
      </x:c>
      <x:c r="I75" s="32" t="str">
        <x:f>IF(OR(A75="",B75=""),"",SUMIFS('Invoice Log'!$J$5:$J$104,'Invoice Log'!$B$5:$B$104,"&gt;="&amp;A75,'Invoice Log'!$B$5:$B$104,"&lt;="&amp;B75,'Invoice Log'!$K$5:$K$104,"Yes"))</x:f>
      </x:c>
      <x:c r="J75" s="36" t="str">
        <x:f>IFERROR(I75/H75,"")</x:f>
      </x:c>
      <x:c r="K75" s="32" t="str">
        <x:f>IF(H75="","",H75-I75)</x:f>
      </x:c>
      <x:c r="L75" s="32" t="str">
        <x:f>IFERROR(K75/H75,"")</x:f>
      </x:c>
      <x:c r="M75" s="32"/>
      <x:c r="N75" s="32"/>
      <x:c r="O75" s="32" t="str">
        <x:f>IF(OR(M75="",N75=""),"",M75+I75-N75)</x:f>
      </x:c>
      <x:c r="P75" s="36" t="str">
        <x:f>IFERROR(O75/H75,"")</x:f>
      </x:c>
      <x:c r="Q75" s="36" t="str">
        <x:f>IFERROR((H75-O75)/H75,"")</x:f>
      </x:c>
      <x:c r="R75" s="21"/>
    </x:row>
    <x:row r="76">
      <x:c r="A76" s="30"/>
      <x:c r="B76" s="30"/>
      <x:c r="C76" s="21" t="str">
        <x:f>IF(A76="","",TEXT(A76,"yyyy-mm"))</x:f>
      </x:c>
      <x:c r="D76" s="32"/>
      <x:c r="E76" s="32"/>
      <x:c r="F76" s="32"/>
      <x:c r="G76" s="32"/>
      <x:c r="H76" s="32" t="str">
        <x:f>IF(D76="","",D76-E76-F76-G76)</x:f>
      </x:c>
      <x:c r="I76" s="32" t="str">
        <x:f>IF(OR(A76="",B76=""),"",SUMIFS('Invoice Log'!$J$5:$J$104,'Invoice Log'!$B$5:$B$104,"&gt;="&amp;A76,'Invoice Log'!$B$5:$B$104,"&lt;="&amp;B76,'Invoice Log'!$K$5:$K$104,"Yes"))</x:f>
      </x:c>
      <x:c r="J76" s="36" t="str">
        <x:f>IFERROR(I76/H76,"")</x:f>
      </x:c>
      <x:c r="K76" s="32" t="str">
        <x:f>IF(H76="","",H76-I76)</x:f>
      </x:c>
      <x:c r="L76" s="32" t="str">
        <x:f>IFERROR(K76/H76,"")</x:f>
      </x:c>
      <x:c r="M76" s="32"/>
      <x:c r="N76" s="32"/>
      <x:c r="O76" s="32" t="str">
        <x:f>IF(OR(M76="",N76=""),"",M76+I76-N76)</x:f>
      </x:c>
      <x:c r="P76" s="36" t="str">
        <x:f>IFERROR(O76/H76,"")</x:f>
      </x:c>
      <x:c r="Q76" s="36" t="str">
        <x:f>IFERROR((H76-O76)/H76,"")</x:f>
      </x:c>
      <x:c r="R76" s="21"/>
    </x:row>
    <x:row r="77">
      <x:c r="A77" s="30"/>
      <x:c r="B77" s="30"/>
      <x:c r="C77" s="21" t="str">
        <x:f>IF(A77="","",TEXT(A77,"yyyy-mm"))</x:f>
      </x:c>
      <x:c r="D77" s="32"/>
      <x:c r="E77" s="32"/>
      <x:c r="F77" s="32"/>
      <x:c r="G77" s="32"/>
      <x:c r="H77" s="32" t="str">
        <x:f>IF(D77="","",D77-E77-F77-G77)</x:f>
      </x:c>
      <x:c r="I77" s="32" t="str">
        <x:f>IF(OR(A77="",B77=""),"",SUMIFS('Invoice Log'!$J$5:$J$104,'Invoice Log'!$B$5:$B$104,"&gt;="&amp;A77,'Invoice Log'!$B$5:$B$104,"&lt;="&amp;B77,'Invoice Log'!$K$5:$K$104,"Yes"))</x:f>
      </x:c>
      <x:c r="J77" s="36" t="str">
        <x:f>IFERROR(I77/H77,"")</x:f>
      </x:c>
      <x:c r="K77" s="32" t="str">
        <x:f>IF(H77="","",H77-I77)</x:f>
      </x:c>
      <x:c r="L77" s="32" t="str">
        <x:f>IFERROR(K77/H77,"")</x:f>
      </x:c>
      <x:c r="M77" s="32"/>
      <x:c r="N77" s="32"/>
      <x:c r="O77" s="32" t="str">
        <x:f>IF(OR(M77="",N77=""),"",M77+I77-N77)</x:f>
      </x:c>
      <x:c r="P77" s="36" t="str">
        <x:f>IFERROR(O77/H77,"")</x:f>
      </x:c>
      <x:c r="Q77" s="36" t="str">
        <x:f>IFERROR((H77-O77)/H77,"")</x:f>
      </x:c>
      <x:c r="R77" s="21"/>
    </x:row>
    <x:row r="78">
      <x:c r="A78" s="30"/>
      <x:c r="B78" s="30"/>
      <x:c r="C78" s="21" t="str">
        <x:f>IF(A78="","",TEXT(A78,"yyyy-mm"))</x:f>
      </x:c>
      <x:c r="D78" s="32"/>
      <x:c r="E78" s="32"/>
      <x:c r="F78" s="32"/>
      <x:c r="G78" s="32"/>
      <x:c r="H78" s="32" t="str">
        <x:f>IF(D78="","",D78-E78-F78-G78)</x:f>
      </x:c>
      <x:c r="I78" s="32" t="str">
        <x:f>IF(OR(A78="",B78=""),"",SUMIFS('Invoice Log'!$J$5:$J$104,'Invoice Log'!$B$5:$B$104,"&gt;="&amp;A78,'Invoice Log'!$B$5:$B$104,"&lt;="&amp;B78,'Invoice Log'!$K$5:$K$104,"Yes"))</x:f>
      </x:c>
      <x:c r="J78" s="36" t="str">
        <x:f>IFERROR(I78/H78,"")</x:f>
      </x:c>
      <x:c r="K78" s="32" t="str">
        <x:f>IF(H78="","",H78-I78)</x:f>
      </x:c>
      <x:c r="L78" s="32" t="str">
        <x:f>IFERROR(K78/H78,"")</x:f>
      </x:c>
      <x:c r="M78" s="32"/>
      <x:c r="N78" s="32"/>
      <x:c r="O78" s="32" t="str">
        <x:f>IF(OR(M78="",N78=""),"",M78+I78-N78)</x:f>
      </x:c>
      <x:c r="P78" s="36" t="str">
        <x:f>IFERROR(O78/H78,"")</x:f>
      </x:c>
      <x:c r="Q78" s="36" t="str">
        <x:f>IFERROR((H78-O78)/H78,"")</x:f>
      </x:c>
      <x:c r="R78" s="21"/>
    </x:row>
    <x:row r="79">
      <x:c r="A79" s="30"/>
      <x:c r="B79" s="30"/>
      <x:c r="C79" s="21" t="str">
        <x:f>IF(A79="","",TEXT(A79,"yyyy-mm"))</x:f>
      </x:c>
      <x:c r="D79" s="32"/>
      <x:c r="E79" s="32"/>
      <x:c r="F79" s="32"/>
      <x:c r="G79" s="32"/>
      <x:c r="H79" s="32" t="str">
        <x:f>IF(D79="","",D79-E79-F79-G79)</x:f>
      </x:c>
      <x:c r="I79" s="32" t="str">
        <x:f>IF(OR(A79="",B79=""),"",SUMIFS('Invoice Log'!$J$5:$J$104,'Invoice Log'!$B$5:$B$104,"&gt;="&amp;A79,'Invoice Log'!$B$5:$B$104,"&lt;="&amp;B79,'Invoice Log'!$K$5:$K$104,"Yes"))</x:f>
      </x:c>
      <x:c r="J79" s="36" t="str">
        <x:f>IFERROR(I79/H79,"")</x:f>
      </x:c>
      <x:c r="K79" s="32" t="str">
        <x:f>IF(H79="","",H79-I79)</x:f>
      </x:c>
      <x:c r="L79" s="32" t="str">
        <x:f>IFERROR(K79/H79,"")</x:f>
      </x:c>
      <x:c r="M79" s="32"/>
      <x:c r="N79" s="32"/>
      <x:c r="O79" s="32" t="str">
        <x:f>IF(OR(M79="",N79=""),"",M79+I79-N79)</x:f>
      </x:c>
      <x:c r="P79" s="36" t="str">
        <x:f>IFERROR(O79/H79,"")</x:f>
      </x:c>
      <x:c r="Q79" s="36" t="str">
        <x:f>IFERROR((H79-O79)/H79,"")</x:f>
      </x:c>
      <x:c r="R79" s="21"/>
    </x:row>
    <x:row r="80">
      <x:c r="A80" s="30"/>
      <x:c r="B80" s="30"/>
      <x:c r="C80" s="21" t="str">
        <x:f>IF(A80="","",TEXT(A80,"yyyy-mm"))</x:f>
      </x:c>
      <x:c r="D80" s="32"/>
      <x:c r="E80" s="32"/>
      <x:c r="F80" s="32"/>
      <x:c r="G80" s="32"/>
      <x:c r="H80" s="32" t="str">
        <x:f>IF(D80="","",D80-E80-F80-G80)</x:f>
      </x:c>
      <x:c r="I80" s="32" t="str">
        <x:f>IF(OR(A80="",B80=""),"",SUMIFS('Invoice Log'!$J$5:$J$104,'Invoice Log'!$B$5:$B$104,"&gt;="&amp;A80,'Invoice Log'!$B$5:$B$104,"&lt;="&amp;B80,'Invoice Log'!$K$5:$K$104,"Yes"))</x:f>
      </x:c>
      <x:c r="J80" s="36" t="str">
        <x:f>IFERROR(I80/H80,"")</x:f>
      </x:c>
      <x:c r="K80" s="32" t="str">
        <x:f>IF(H80="","",H80-I80)</x:f>
      </x:c>
      <x:c r="L80" s="32" t="str">
        <x:f>IFERROR(K80/H80,"")</x:f>
      </x:c>
      <x:c r="M80" s="32"/>
      <x:c r="N80" s="32"/>
      <x:c r="O80" s="32" t="str">
        <x:f>IF(OR(M80="",N80=""),"",M80+I80-N80)</x:f>
      </x:c>
      <x:c r="P80" s="36" t="str">
        <x:f>IFERROR(O80/H80,"")</x:f>
      </x:c>
      <x:c r="Q80" s="36" t="str">
        <x:f>IFERROR((H80-O80)/H80,"")</x:f>
      </x:c>
      <x:c r="R80" s="21"/>
    </x:row>
    <x:row r="81">
      <x:c r="A81" s="30"/>
      <x:c r="B81" s="30"/>
      <x:c r="C81" s="21" t="str">
        <x:f>IF(A81="","",TEXT(A81,"yyyy-mm"))</x:f>
      </x:c>
      <x:c r="D81" s="32"/>
      <x:c r="E81" s="32"/>
      <x:c r="F81" s="32"/>
      <x:c r="G81" s="32"/>
      <x:c r="H81" s="32" t="str">
        <x:f>IF(D81="","",D81-E81-F81-G81)</x:f>
      </x:c>
      <x:c r="I81" s="32" t="str">
        <x:f>IF(OR(A81="",B81=""),"",SUMIFS('Invoice Log'!$J$5:$J$104,'Invoice Log'!$B$5:$B$104,"&gt;="&amp;A81,'Invoice Log'!$B$5:$B$104,"&lt;="&amp;B81,'Invoice Log'!$K$5:$K$104,"Yes"))</x:f>
      </x:c>
      <x:c r="J81" s="36" t="str">
        <x:f>IFERROR(I81/H81,"")</x:f>
      </x:c>
      <x:c r="K81" s="32" t="str">
        <x:f>IF(H81="","",H81-I81)</x:f>
      </x:c>
      <x:c r="L81" s="32" t="str">
        <x:f>IFERROR(K81/H81,"")</x:f>
      </x:c>
      <x:c r="M81" s="32"/>
      <x:c r="N81" s="32"/>
      <x:c r="O81" s="32" t="str">
        <x:f>IF(OR(M81="",N81=""),"",M81+I81-N81)</x:f>
      </x:c>
      <x:c r="P81" s="36" t="str">
        <x:f>IFERROR(O81/H81,"")</x:f>
      </x:c>
      <x:c r="Q81" s="36" t="str">
        <x:f>IFERROR((H81-O81)/H81,"")</x:f>
      </x:c>
      <x:c r="R81" s="21"/>
    </x:row>
    <x:row r="82">
      <x:c r="A82" s="30"/>
      <x:c r="B82" s="30"/>
      <x:c r="C82" s="21" t="str">
        <x:f>IF(A82="","",TEXT(A82,"yyyy-mm"))</x:f>
      </x:c>
      <x:c r="D82" s="32"/>
      <x:c r="E82" s="32"/>
      <x:c r="F82" s="32"/>
      <x:c r="G82" s="32"/>
      <x:c r="H82" s="32" t="str">
        <x:f>IF(D82="","",D82-E82-F82-G82)</x:f>
      </x:c>
      <x:c r="I82" s="32" t="str">
        <x:f>IF(OR(A82="",B82=""),"",SUMIFS('Invoice Log'!$J$5:$J$104,'Invoice Log'!$B$5:$B$104,"&gt;="&amp;A82,'Invoice Log'!$B$5:$B$104,"&lt;="&amp;B82,'Invoice Log'!$K$5:$K$104,"Yes"))</x:f>
      </x:c>
      <x:c r="J82" s="36" t="str">
        <x:f>IFERROR(I82/H82,"")</x:f>
      </x:c>
      <x:c r="K82" s="32" t="str">
        <x:f>IF(H82="","",H82-I82)</x:f>
      </x:c>
      <x:c r="L82" s="32" t="str">
        <x:f>IFERROR(K82/H82,"")</x:f>
      </x:c>
      <x:c r="M82" s="32"/>
      <x:c r="N82" s="32"/>
      <x:c r="O82" s="32" t="str">
        <x:f>IF(OR(M82="",N82=""),"",M82+I82-N82)</x:f>
      </x:c>
      <x:c r="P82" s="36" t="str">
        <x:f>IFERROR(O82/H82,"")</x:f>
      </x:c>
      <x:c r="Q82" s="36" t="str">
        <x:f>IFERROR((H82-O82)/H82,"")</x:f>
      </x:c>
      <x:c r="R82" s="21"/>
    </x:row>
    <x:row r="83">
      <x:c r="A83" s="30"/>
      <x:c r="B83" s="30"/>
      <x:c r="C83" s="21" t="str">
        <x:f>IF(A83="","",TEXT(A83,"yyyy-mm"))</x:f>
      </x:c>
      <x:c r="D83" s="32"/>
      <x:c r="E83" s="32"/>
      <x:c r="F83" s="32"/>
      <x:c r="G83" s="32"/>
      <x:c r="H83" s="32" t="str">
        <x:f>IF(D83="","",D83-E83-F83-G83)</x:f>
      </x:c>
      <x:c r="I83" s="32" t="str">
        <x:f>IF(OR(A83="",B83=""),"",SUMIFS('Invoice Log'!$J$5:$J$104,'Invoice Log'!$B$5:$B$104,"&gt;="&amp;A83,'Invoice Log'!$B$5:$B$104,"&lt;="&amp;B83,'Invoice Log'!$K$5:$K$104,"Yes"))</x:f>
      </x:c>
      <x:c r="J83" s="36" t="str">
        <x:f>IFERROR(I83/H83,"")</x:f>
      </x:c>
      <x:c r="K83" s="32" t="str">
        <x:f>IF(H83="","",H83-I83)</x:f>
      </x:c>
      <x:c r="L83" s="32" t="str">
        <x:f>IFERROR(K83/H83,"")</x:f>
      </x:c>
      <x:c r="M83" s="32"/>
      <x:c r="N83" s="32"/>
      <x:c r="O83" s="32" t="str">
        <x:f>IF(OR(M83="",N83=""),"",M83+I83-N83)</x:f>
      </x:c>
      <x:c r="P83" s="36" t="str">
        <x:f>IFERROR(O83/H83,"")</x:f>
      </x:c>
      <x:c r="Q83" s="36" t="str">
        <x:f>IFERROR((H83-O83)/H83,"")</x:f>
      </x:c>
      <x:c r="R83" s="21"/>
    </x:row>
    <x:row r="84">
      <x:c r="A84" s="30"/>
      <x:c r="B84" s="30"/>
      <x:c r="C84" s="21" t="str">
        <x:f>IF(A84="","",TEXT(A84,"yyyy-mm"))</x:f>
      </x:c>
      <x:c r="D84" s="32"/>
      <x:c r="E84" s="32"/>
      <x:c r="F84" s="32"/>
      <x:c r="G84" s="32"/>
      <x:c r="H84" s="32" t="str">
        <x:f>IF(D84="","",D84-E84-F84-G84)</x:f>
      </x:c>
      <x:c r="I84" s="32" t="str">
        <x:f>IF(OR(A84="",B84=""),"",SUMIFS('Invoice Log'!$J$5:$J$104,'Invoice Log'!$B$5:$B$104,"&gt;="&amp;A84,'Invoice Log'!$B$5:$B$104,"&lt;="&amp;B84,'Invoice Log'!$K$5:$K$104,"Yes"))</x:f>
      </x:c>
      <x:c r="J84" s="36" t="str">
        <x:f>IFERROR(I84/H84,"")</x:f>
      </x:c>
      <x:c r="K84" s="32" t="str">
        <x:f>IF(H84="","",H84-I84)</x:f>
      </x:c>
      <x:c r="L84" s="32" t="str">
        <x:f>IFERROR(K84/H84,"")</x:f>
      </x:c>
      <x:c r="M84" s="32"/>
      <x:c r="N84" s="32"/>
      <x:c r="O84" s="32" t="str">
        <x:f>IF(OR(M84="",N84=""),"",M84+I84-N84)</x:f>
      </x:c>
      <x:c r="P84" s="36" t="str">
        <x:f>IFERROR(O84/H84,"")</x:f>
      </x:c>
      <x:c r="Q84" s="36" t="str">
        <x:f>IFERROR((H84-O84)/H84,"")</x:f>
      </x:c>
      <x:c r="R84" s="21"/>
    </x:row>
    <x:row r="85">
      <x:c r="A85" s="30"/>
      <x:c r="B85" s="30"/>
      <x:c r="C85" s="21" t="str">
        <x:f>IF(A85="","",TEXT(A85,"yyyy-mm"))</x:f>
      </x:c>
      <x:c r="D85" s="32"/>
      <x:c r="E85" s="32"/>
      <x:c r="F85" s="32"/>
      <x:c r="G85" s="32"/>
      <x:c r="H85" s="32" t="str">
        <x:f>IF(D85="","",D85-E85-F85-G85)</x:f>
      </x:c>
      <x:c r="I85" s="32" t="str">
        <x:f>IF(OR(A85="",B85=""),"",SUMIFS('Invoice Log'!$J$5:$J$104,'Invoice Log'!$B$5:$B$104,"&gt;="&amp;A85,'Invoice Log'!$B$5:$B$104,"&lt;="&amp;B85,'Invoice Log'!$K$5:$K$104,"Yes"))</x:f>
      </x:c>
      <x:c r="J85" s="36" t="str">
        <x:f>IFERROR(I85/H85,"")</x:f>
      </x:c>
      <x:c r="K85" s="32" t="str">
        <x:f>IF(H85="","",H85-I85)</x:f>
      </x:c>
      <x:c r="L85" s="32" t="str">
        <x:f>IFERROR(K85/H85,"")</x:f>
      </x:c>
      <x:c r="M85" s="32"/>
      <x:c r="N85" s="32"/>
      <x:c r="O85" s="32" t="str">
        <x:f>IF(OR(M85="",N85=""),"",M85+I85-N85)</x:f>
      </x:c>
      <x:c r="P85" s="36" t="str">
        <x:f>IFERROR(O85/H85,"")</x:f>
      </x:c>
      <x:c r="Q85" s="36" t="str">
        <x:f>IFERROR((H85-O85)/H85,"")</x:f>
      </x:c>
      <x:c r="R85" s="21"/>
    </x:row>
    <x:row r="86">
      <x:c r="A86" s="30"/>
      <x:c r="B86" s="30"/>
      <x:c r="C86" s="21" t="str">
        <x:f>IF(A86="","",TEXT(A86,"yyyy-mm"))</x:f>
      </x:c>
      <x:c r="D86" s="32"/>
      <x:c r="E86" s="32"/>
      <x:c r="F86" s="32"/>
      <x:c r="G86" s="32"/>
      <x:c r="H86" s="32" t="str">
        <x:f>IF(D86="","",D86-E86-F86-G86)</x:f>
      </x:c>
      <x:c r="I86" s="32" t="str">
        <x:f>IF(OR(A86="",B86=""),"",SUMIFS('Invoice Log'!$J$5:$J$104,'Invoice Log'!$B$5:$B$104,"&gt;="&amp;A86,'Invoice Log'!$B$5:$B$104,"&lt;="&amp;B86,'Invoice Log'!$K$5:$K$104,"Yes"))</x:f>
      </x:c>
      <x:c r="J86" s="36" t="str">
        <x:f>IFERROR(I86/H86,"")</x:f>
      </x:c>
      <x:c r="K86" s="32" t="str">
        <x:f>IF(H86="","",H86-I86)</x:f>
      </x:c>
      <x:c r="L86" s="32" t="str">
        <x:f>IFERROR(K86/H86,"")</x:f>
      </x:c>
      <x:c r="M86" s="32"/>
      <x:c r="N86" s="32"/>
      <x:c r="O86" s="32" t="str">
        <x:f>IF(OR(M86="",N86=""),"",M86+I86-N86)</x:f>
      </x:c>
      <x:c r="P86" s="36" t="str">
        <x:f>IFERROR(O86/H86,"")</x:f>
      </x:c>
      <x:c r="Q86" s="36" t="str">
        <x:f>IFERROR((H86-O86)/H86,"")</x:f>
      </x:c>
      <x:c r="R86" s="21"/>
    </x:row>
    <x:row r="87">
      <x:c r="A87" s="30"/>
      <x:c r="B87" s="30"/>
      <x:c r="C87" s="21" t="str">
        <x:f>IF(A87="","",TEXT(A87,"yyyy-mm"))</x:f>
      </x:c>
      <x:c r="D87" s="32"/>
      <x:c r="E87" s="32"/>
      <x:c r="F87" s="32"/>
      <x:c r="G87" s="32"/>
      <x:c r="H87" s="32" t="str">
        <x:f>IF(D87="","",D87-E87-F87-G87)</x:f>
      </x:c>
      <x:c r="I87" s="32" t="str">
        <x:f>IF(OR(A87="",B87=""),"",SUMIFS('Invoice Log'!$J$5:$J$104,'Invoice Log'!$B$5:$B$104,"&gt;="&amp;A87,'Invoice Log'!$B$5:$B$104,"&lt;="&amp;B87,'Invoice Log'!$K$5:$K$104,"Yes"))</x:f>
      </x:c>
      <x:c r="J87" s="36" t="str">
        <x:f>IFERROR(I87/H87,"")</x:f>
      </x:c>
      <x:c r="K87" s="32" t="str">
        <x:f>IF(H87="","",H87-I87)</x:f>
      </x:c>
      <x:c r="L87" s="32" t="str">
        <x:f>IFERROR(K87/H87,"")</x:f>
      </x:c>
      <x:c r="M87" s="32"/>
      <x:c r="N87" s="32"/>
      <x:c r="O87" s="32" t="str">
        <x:f>IF(OR(M87="",N87=""),"",M87+I87-N87)</x:f>
      </x:c>
      <x:c r="P87" s="36" t="str">
        <x:f>IFERROR(O87/H87,"")</x:f>
      </x:c>
      <x:c r="Q87" s="36" t="str">
        <x:f>IFERROR((H87-O87)/H87,"")</x:f>
      </x:c>
      <x:c r="R87" s="21"/>
    </x:row>
    <x:row r="88">
      <x:c r="A88" s="30"/>
      <x:c r="B88" s="30"/>
      <x:c r="C88" s="21" t="str">
        <x:f>IF(A88="","",TEXT(A88,"yyyy-mm"))</x:f>
      </x:c>
      <x:c r="D88" s="32"/>
      <x:c r="E88" s="32"/>
      <x:c r="F88" s="32"/>
      <x:c r="G88" s="32"/>
      <x:c r="H88" s="32" t="str">
        <x:f>IF(D88="","",D88-E88-F88-G88)</x:f>
      </x:c>
      <x:c r="I88" s="32" t="str">
        <x:f>IF(OR(A88="",B88=""),"",SUMIFS('Invoice Log'!$J$5:$J$104,'Invoice Log'!$B$5:$B$104,"&gt;="&amp;A88,'Invoice Log'!$B$5:$B$104,"&lt;="&amp;B88,'Invoice Log'!$K$5:$K$104,"Yes"))</x:f>
      </x:c>
      <x:c r="J88" s="36" t="str">
        <x:f>IFERROR(I88/H88,"")</x:f>
      </x:c>
      <x:c r="K88" s="32" t="str">
        <x:f>IF(H88="","",H88-I88)</x:f>
      </x:c>
      <x:c r="L88" s="32" t="str">
        <x:f>IFERROR(K88/H88,"")</x:f>
      </x:c>
      <x:c r="M88" s="32"/>
      <x:c r="N88" s="32"/>
      <x:c r="O88" s="32" t="str">
        <x:f>IF(OR(M88="",N88=""),"",M88+I88-N88)</x:f>
      </x:c>
      <x:c r="P88" s="36" t="str">
        <x:f>IFERROR(O88/H88,"")</x:f>
      </x:c>
      <x:c r="Q88" s="36" t="str">
        <x:f>IFERROR((H88-O88)/H88,"")</x:f>
      </x:c>
      <x:c r="R88" s="21"/>
    </x:row>
    <x:row r="89">
      <x:c r="A89" s="30"/>
      <x:c r="B89" s="30"/>
      <x:c r="C89" s="21" t="str">
        <x:f>IF(A89="","",TEXT(A89,"yyyy-mm"))</x:f>
      </x:c>
      <x:c r="D89" s="32"/>
      <x:c r="E89" s="32"/>
      <x:c r="F89" s="32"/>
      <x:c r="G89" s="32"/>
      <x:c r="H89" s="32" t="str">
        <x:f>IF(D89="","",D89-E89-F89-G89)</x:f>
      </x:c>
      <x:c r="I89" s="32" t="str">
        <x:f>IF(OR(A89="",B89=""),"",SUMIFS('Invoice Log'!$J$5:$J$104,'Invoice Log'!$B$5:$B$104,"&gt;="&amp;A89,'Invoice Log'!$B$5:$B$104,"&lt;="&amp;B89,'Invoice Log'!$K$5:$K$104,"Yes"))</x:f>
      </x:c>
      <x:c r="J89" s="36" t="str">
        <x:f>IFERROR(I89/H89,"")</x:f>
      </x:c>
      <x:c r="K89" s="32" t="str">
        <x:f>IF(H89="","",H89-I89)</x:f>
      </x:c>
      <x:c r="L89" s="32" t="str">
        <x:f>IFERROR(K89/H89,"")</x:f>
      </x:c>
      <x:c r="M89" s="32"/>
      <x:c r="N89" s="32"/>
      <x:c r="O89" s="32" t="str">
        <x:f>IF(OR(M89="",N89=""),"",M89+I89-N89)</x:f>
      </x:c>
      <x:c r="P89" s="36" t="str">
        <x:f>IFERROR(O89/H89,"")</x:f>
      </x:c>
      <x:c r="Q89" s="36" t="str">
        <x:f>IFERROR((H89-O89)/H89,"")</x:f>
      </x:c>
      <x:c r="R89" s="21"/>
    </x:row>
    <x:row r="90">
      <x:c r="A90" s="30"/>
      <x:c r="B90" s="30"/>
      <x:c r="C90" s="21" t="str">
        <x:f>IF(A90="","",TEXT(A90,"yyyy-mm"))</x:f>
      </x:c>
      <x:c r="D90" s="32"/>
      <x:c r="E90" s="32"/>
      <x:c r="F90" s="32"/>
      <x:c r="G90" s="32"/>
      <x:c r="H90" s="32" t="str">
        <x:f>IF(D90="","",D90-E90-F90-G90)</x:f>
      </x:c>
      <x:c r="I90" s="32" t="str">
        <x:f>IF(OR(A90="",B90=""),"",SUMIFS('Invoice Log'!$J$5:$J$104,'Invoice Log'!$B$5:$B$104,"&gt;="&amp;A90,'Invoice Log'!$B$5:$B$104,"&lt;="&amp;B90,'Invoice Log'!$K$5:$K$104,"Yes"))</x:f>
      </x:c>
      <x:c r="J90" s="36" t="str">
        <x:f>IFERROR(I90/H90,"")</x:f>
      </x:c>
      <x:c r="K90" s="32" t="str">
        <x:f>IF(H90="","",H90-I90)</x:f>
      </x:c>
      <x:c r="L90" s="32" t="str">
        <x:f>IFERROR(K90/H90,"")</x:f>
      </x:c>
      <x:c r="M90" s="32"/>
      <x:c r="N90" s="32"/>
      <x:c r="O90" s="32" t="str">
        <x:f>IF(OR(M90="",N90=""),"",M90+I90-N90)</x:f>
      </x:c>
      <x:c r="P90" s="36" t="str">
        <x:f>IFERROR(O90/H90,"")</x:f>
      </x:c>
      <x:c r="Q90" s="36" t="str">
        <x:f>IFERROR((H90-O90)/H90,"")</x:f>
      </x:c>
      <x:c r="R90" s="21"/>
    </x:row>
    <x:row r="91">
      <x:c r="A91" s="30"/>
      <x:c r="B91" s="30"/>
      <x:c r="C91" s="21" t="str">
        <x:f>IF(A91="","",TEXT(A91,"yyyy-mm"))</x:f>
      </x:c>
      <x:c r="D91" s="32"/>
      <x:c r="E91" s="32"/>
      <x:c r="F91" s="32"/>
      <x:c r="G91" s="32"/>
      <x:c r="H91" s="32" t="str">
        <x:f>IF(D91="","",D91-E91-F91-G91)</x:f>
      </x:c>
      <x:c r="I91" s="32" t="str">
        <x:f>IF(OR(A91="",B91=""),"",SUMIFS('Invoice Log'!$J$5:$J$104,'Invoice Log'!$B$5:$B$104,"&gt;="&amp;A91,'Invoice Log'!$B$5:$B$104,"&lt;="&amp;B91,'Invoice Log'!$K$5:$K$104,"Yes"))</x:f>
      </x:c>
      <x:c r="J91" s="36" t="str">
        <x:f>IFERROR(I91/H91,"")</x:f>
      </x:c>
      <x:c r="K91" s="32" t="str">
        <x:f>IF(H91="","",H91-I91)</x:f>
      </x:c>
      <x:c r="L91" s="32" t="str">
        <x:f>IFERROR(K91/H91,"")</x:f>
      </x:c>
      <x:c r="M91" s="32"/>
      <x:c r="N91" s="32"/>
      <x:c r="O91" s="32" t="str">
        <x:f>IF(OR(M91="",N91=""),"",M91+I91-N91)</x:f>
      </x:c>
      <x:c r="P91" s="36" t="str">
        <x:f>IFERROR(O91/H91,"")</x:f>
      </x:c>
      <x:c r="Q91" s="36" t="str">
        <x:f>IFERROR((H91-O91)/H91,"")</x:f>
      </x:c>
      <x:c r="R91" s="21"/>
    </x:row>
    <x:row r="92">
      <x:c r="A92" s="30"/>
      <x:c r="B92" s="30"/>
      <x:c r="C92" s="21" t="str">
        <x:f>IF(A92="","",TEXT(A92,"yyyy-mm"))</x:f>
      </x:c>
      <x:c r="D92" s="32"/>
      <x:c r="E92" s="32"/>
      <x:c r="F92" s="32"/>
      <x:c r="G92" s="32"/>
      <x:c r="H92" s="32" t="str">
        <x:f>IF(D92="","",D92-E92-F92-G92)</x:f>
      </x:c>
      <x:c r="I92" s="32" t="str">
        <x:f>IF(OR(A92="",B92=""),"",SUMIFS('Invoice Log'!$J$5:$J$104,'Invoice Log'!$B$5:$B$104,"&gt;="&amp;A92,'Invoice Log'!$B$5:$B$104,"&lt;="&amp;B92,'Invoice Log'!$K$5:$K$104,"Yes"))</x:f>
      </x:c>
      <x:c r="J92" s="36" t="str">
        <x:f>IFERROR(I92/H92,"")</x:f>
      </x:c>
      <x:c r="K92" s="32" t="str">
        <x:f>IF(H92="","",H92-I92)</x:f>
      </x:c>
      <x:c r="L92" s="32" t="str">
        <x:f>IFERROR(K92/H92,"")</x:f>
      </x:c>
      <x:c r="M92" s="32"/>
      <x:c r="N92" s="32"/>
      <x:c r="O92" s="32" t="str">
        <x:f>IF(OR(M92="",N92=""),"",M92+I92-N92)</x:f>
      </x:c>
      <x:c r="P92" s="36" t="str">
        <x:f>IFERROR(O92/H92,"")</x:f>
      </x:c>
      <x:c r="Q92" s="36" t="str">
        <x:f>IFERROR((H92-O92)/H92,"")</x:f>
      </x:c>
      <x:c r="R92" s="21"/>
    </x:row>
    <x:row r="93">
      <x:c r="A93" s="30"/>
      <x:c r="B93" s="30"/>
      <x:c r="C93" s="21" t="str">
        <x:f>IF(A93="","",TEXT(A93,"yyyy-mm"))</x:f>
      </x:c>
      <x:c r="D93" s="32"/>
      <x:c r="E93" s="32"/>
      <x:c r="F93" s="32"/>
      <x:c r="G93" s="32"/>
      <x:c r="H93" s="32" t="str">
        <x:f>IF(D93="","",D93-E93-F93-G93)</x:f>
      </x:c>
      <x:c r="I93" s="32" t="str">
        <x:f>IF(OR(A93="",B93=""),"",SUMIFS('Invoice Log'!$J$5:$J$104,'Invoice Log'!$B$5:$B$104,"&gt;="&amp;A93,'Invoice Log'!$B$5:$B$104,"&lt;="&amp;B93,'Invoice Log'!$K$5:$K$104,"Yes"))</x:f>
      </x:c>
      <x:c r="J93" s="36" t="str">
        <x:f>IFERROR(I93/H93,"")</x:f>
      </x:c>
      <x:c r="K93" s="32" t="str">
        <x:f>IF(H93="","",H93-I93)</x:f>
      </x:c>
      <x:c r="L93" s="32" t="str">
        <x:f>IFERROR(K93/H93,"")</x:f>
      </x:c>
      <x:c r="M93" s="32"/>
      <x:c r="N93" s="32"/>
      <x:c r="O93" s="32" t="str">
        <x:f>IF(OR(M93="",N93=""),"",M93+I93-N93)</x:f>
      </x:c>
      <x:c r="P93" s="36" t="str">
        <x:f>IFERROR(O93/H93,"")</x:f>
      </x:c>
      <x:c r="Q93" s="36" t="str">
        <x:f>IFERROR((H93-O93)/H93,"")</x:f>
      </x:c>
      <x:c r="R93" s="21"/>
    </x:row>
    <x:row r="94">
      <x:c r="A94" s="30"/>
      <x:c r="B94" s="30"/>
      <x:c r="C94" s="21" t="str">
        <x:f>IF(A94="","",TEXT(A94,"yyyy-mm"))</x:f>
      </x:c>
      <x:c r="D94" s="32"/>
      <x:c r="E94" s="32"/>
      <x:c r="F94" s="32"/>
      <x:c r="G94" s="32"/>
      <x:c r="H94" s="32" t="str">
        <x:f>IF(D94="","",D94-E94-F94-G94)</x:f>
      </x:c>
      <x:c r="I94" s="32" t="str">
        <x:f>IF(OR(A94="",B94=""),"",SUMIFS('Invoice Log'!$J$5:$J$104,'Invoice Log'!$B$5:$B$104,"&gt;="&amp;A94,'Invoice Log'!$B$5:$B$104,"&lt;="&amp;B94,'Invoice Log'!$K$5:$K$104,"Yes"))</x:f>
      </x:c>
      <x:c r="J94" s="36" t="str">
        <x:f>IFERROR(I94/H94,"")</x:f>
      </x:c>
      <x:c r="K94" s="32" t="str">
        <x:f>IF(H94="","",H94-I94)</x:f>
      </x:c>
      <x:c r="L94" s="32" t="str">
        <x:f>IFERROR(K94/H94,"")</x:f>
      </x:c>
      <x:c r="M94" s="32"/>
      <x:c r="N94" s="32"/>
      <x:c r="O94" s="32" t="str">
        <x:f>IF(OR(M94="",N94=""),"",M94+I94-N94)</x:f>
      </x:c>
      <x:c r="P94" s="36" t="str">
        <x:f>IFERROR(O94/H94,"")</x:f>
      </x:c>
      <x:c r="Q94" s="36" t="str">
        <x:f>IFERROR((H94-O94)/H94,"")</x:f>
      </x:c>
      <x:c r="R94" s="21"/>
    </x:row>
    <x:row r="95">
      <x:c r="A95" s="30"/>
      <x:c r="B95" s="30"/>
      <x:c r="C95" s="21" t="str">
        <x:f>IF(A95="","",TEXT(A95,"yyyy-mm"))</x:f>
      </x:c>
      <x:c r="D95" s="32"/>
      <x:c r="E95" s="32"/>
      <x:c r="F95" s="32"/>
      <x:c r="G95" s="32"/>
      <x:c r="H95" s="32" t="str">
        <x:f>IF(D95="","",D95-E95-F95-G95)</x:f>
      </x:c>
      <x:c r="I95" s="32" t="str">
        <x:f>IF(OR(A95="",B95=""),"",SUMIFS('Invoice Log'!$J$5:$J$104,'Invoice Log'!$B$5:$B$104,"&gt;="&amp;A95,'Invoice Log'!$B$5:$B$104,"&lt;="&amp;B95,'Invoice Log'!$K$5:$K$104,"Yes"))</x:f>
      </x:c>
      <x:c r="J95" s="36" t="str">
        <x:f>IFERROR(I95/H95,"")</x:f>
      </x:c>
      <x:c r="K95" s="32" t="str">
        <x:f>IF(H95="","",H95-I95)</x:f>
      </x:c>
      <x:c r="L95" s="32" t="str">
        <x:f>IFERROR(K95/H95,"")</x:f>
      </x:c>
      <x:c r="M95" s="32"/>
      <x:c r="N95" s="32"/>
      <x:c r="O95" s="32" t="str">
        <x:f>IF(OR(M95="",N95=""),"",M95+I95-N95)</x:f>
      </x:c>
      <x:c r="P95" s="36" t="str">
        <x:f>IFERROR(O95/H95,"")</x:f>
      </x:c>
      <x:c r="Q95" s="36" t="str">
        <x:f>IFERROR((H95-O95)/H95,"")</x:f>
      </x:c>
      <x:c r="R95" s="21"/>
    </x:row>
    <x:row r="96">
      <x:c r="A96" s="30"/>
      <x:c r="B96" s="30"/>
      <x:c r="C96" s="21" t="str">
        <x:f>IF(A96="","",TEXT(A96,"yyyy-mm"))</x:f>
      </x:c>
      <x:c r="D96" s="32"/>
      <x:c r="E96" s="32"/>
      <x:c r="F96" s="32"/>
      <x:c r="G96" s="32"/>
      <x:c r="H96" s="32" t="str">
        <x:f>IF(D96="","",D96-E96-F96-G96)</x:f>
      </x:c>
      <x:c r="I96" s="32" t="str">
        <x:f>IF(OR(A96="",B96=""),"",SUMIFS('Invoice Log'!$J$5:$J$104,'Invoice Log'!$B$5:$B$104,"&gt;="&amp;A96,'Invoice Log'!$B$5:$B$104,"&lt;="&amp;B96,'Invoice Log'!$K$5:$K$104,"Yes"))</x:f>
      </x:c>
      <x:c r="J96" s="36" t="str">
        <x:f>IFERROR(I96/H96,"")</x:f>
      </x:c>
      <x:c r="K96" s="32" t="str">
        <x:f>IF(H96="","",H96-I96)</x:f>
      </x:c>
      <x:c r="L96" s="32" t="str">
        <x:f>IFERROR(K96/H96,"")</x:f>
      </x:c>
      <x:c r="M96" s="32"/>
      <x:c r="N96" s="32"/>
      <x:c r="O96" s="32" t="str">
        <x:f>IF(OR(M96="",N96=""),"",M96+I96-N96)</x:f>
      </x:c>
      <x:c r="P96" s="36" t="str">
        <x:f>IFERROR(O96/H96,"")</x:f>
      </x:c>
      <x:c r="Q96" s="36" t="str">
        <x:f>IFERROR((H96-O96)/H96,"")</x:f>
      </x:c>
      <x:c r="R96" s="21"/>
    </x:row>
    <x:row r="97">
      <x:c r="A97" s="30"/>
      <x:c r="B97" s="30"/>
      <x:c r="C97" s="21" t="str">
        <x:f>IF(A97="","",TEXT(A97,"yyyy-mm"))</x:f>
      </x:c>
      <x:c r="D97" s="32"/>
      <x:c r="E97" s="32"/>
      <x:c r="F97" s="32"/>
      <x:c r="G97" s="32"/>
      <x:c r="H97" s="32" t="str">
        <x:f>IF(D97="","",D97-E97-F97-G97)</x:f>
      </x:c>
      <x:c r="I97" s="32" t="str">
        <x:f>IF(OR(A97="",B97=""),"",SUMIFS('Invoice Log'!$J$5:$J$104,'Invoice Log'!$B$5:$B$104,"&gt;="&amp;A97,'Invoice Log'!$B$5:$B$104,"&lt;="&amp;B97,'Invoice Log'!$K$5:$K$104,"Yes"))</x:f>
      </x:c>
      <x:c r="J97" s="36" t="str">
        <x:f>IFERROR(I97/H97,"")</x:f>
      </x:c>
      <x:c r="K97" s="32" t="str">
        <x:f>IF(H97="","",H97-I97)</x:f>
      </x:c>
      <x:c r="L97" s="32" t="str">
        <x:f>IFERROR(K97/H97,"")</x:f>
      </x:c>
      <x:c r="M97" s="32"/>
      <x:c r="N97" s="32"/>
      <x:c r="O97" s="32" t="str">
        <x:f>IF(OR(M97="",N97=""),"",M97+I97-N97)</x:f>
      </x:c>
      <x:c r="P97" s="36" t="str">
        <x:f>IFERROR(O97/H97,"")</x:f>
      </x:c>
      <x:c r="Q97" s="36" t="str">
        <x:f>IFERROR((H97-O97)/H97,"")</x:f>
      </x:c>
      <x:c r="R97" s="21"/>
    </x:row>
    <x:row r="98">
      <x:c r="A98" s="30"/>
      <x:c r="B98" s="30"/>
      <x:c r="C98" s="21" t="str">
        <x:f>IF(A98="","",TEXT(A98,"yyyy-mm"))</x:f>
      </x:c>
      <x:c r="D98" s="32"/>
      <x:c r="E98" s="32"/>
      <x:c r="F98" s="32"/>
      <x:c r="G98" s="32"/>
      <x:c r="H98" s="32" t="str">
        <x:f>IF(D98="","",D98-E98-F98-G98)</x:f>
      </x:c>
      <x:c r="I98" s="32" t="str">
        <x:f>IF(OR(A98="",B98=""),"",SUMIFS('Invoice Log'!$J$5:$J$104,'Invoice Log'!$B$5:$B$104,"&gt;="&amp;A98,'Invoice Log'!$B$5:$B$104,"&lt;="&amp;B98,'Invoice Log'!$K$5:$K$104,"Yes"))</x:f>
      </x:c>
      <x:c r="J98" s="36" t="str">
        <x:f>IFERROR(I98/H98,"")</x:f>
      </x:c>
      <x:c r="K98" s="32" t="str">
        <x:f>IF(H98="","",H98-I98)</x:f>
      </x:c>
      <x:c r="L98" s="32" t="str">
        <x:f>IFERROR(K98/H98,"")</x:f>
      </x:c>
      <x:c r="M98" s="32"/>
      <x:c r="N98" s="32"/>
      <x:c r="O98" s="32" t="str">
        <x:f>IF(OR(M98="",N98=""),"",M98+I98-N98)</x:f>
      </x:c>
      <x:c r="P98" s="36" t="str">
        <x:f>IFERROR(O98/H98,"")</x:f>
      </x:c>
      <x:c r="Q98" s="36" t="str">
        <x:f>IFERROR((H98-O98)/H98,"")</x:f>
      </x:c>
      <x:c r="R98" s="21"/>
    </x:row>
    <x:row r="99">
      <x:c r="A99" s="30"/>
      <x:c r="B99" s="30"/>
      <x:c r="C99" s="21" t="str">
        <x:f>IF(A99="","",TEXT(A99,"yyyy-mm"))</x:f>
      </x:c>
      <x:c r="D99" s="32"/>
      <x:c r="E99" s="32"/>
      <x:c r="F99" s="32"/>
      <x:c r="G99" s="32"/>
      <x:c r="H99" s="32" t="str">
        <x:f>IF(D99="","",D99-E99-F99-G99)</x:f>
      </x:c>
      <x:c r="I99" s="32" t="str">
        <x:f>IF(OR(A99="",B99=""),"",SUMIFS('Invoice Log'!$J$5:$J$104,'Invoice Log'!$B$5:$B$104,"&gt;="&amp;A99,'Invoice Log'!$B$5:$B$104,"&lt;="&amp;B99,'Invoice Log'!$K$5:$K$104,"Yes"))</x:f>
      </x:c>
      <x:c r="J99" s="36" t="str">
        <x:f>IFERROR(I99/H99,"")</x:f>
      </x:c>
      <x:c r="K99" s="32" t="str">
        <x:f>IF(H99="","",H99-I99)</x:f>
      </x:c>
      <x:c r="L99" s="32" t="str">
        <x:f>IFERROR(K99/H99,"")</x:f>
      </x:c>
      <x:c r="M99" s="32"/>
      <x:c r="N99" s="32"/>
      <x:c r="O99" s="32" t="str">
        <x:f>IF(OR(M99="",N99=""),"",M99+I99-N99)</x:f>
      </x:c>
      <x:c r="P99" s="36" t="str">
        <x:f>IFERROR(O99/H99,"")</x:f>
      </x:c>
      <x:c r="Q99" s="36" t="str">
        <x:f>IFERROR((H99-O99)/H99,"")</x:f>
      </x:c>
      <x:c r="R99" s="21"/>
    </x:row>
    <x:row r="100">
      <x:c r="A100" s="30"/>
      <x:c r="B100" s="30"/>
      <x:c r="C100" s="21" t="str">
        <x:f>IF(A100="","",TEXT(A100,"yyyy-mm"))</x:f>
      </x:c>
      <x:c r="D100" s="32"/>
      <x:c r="E100" s="32"/>
      <x:c r="F100" s="32"/>
      <x:c r="G100" s="32"/>
      <x:c r="H100" s="32" t="str">
        <x:f>IF(D100="","",D100-E100-F100-G100)</x:f>
      </x:c>
      <x:c r="I100" s="32" t="str">
        <x:f>IF(OR(A100="",B100=""),"",SUMIFS('Invoice Log'!$J$5:$J$104,'Invoice Log'!$B$5:$B$104,"&gt;="&amp;A100,'Invoice Log'!$B$5:$B$104,"&lt;="&amp;B100,'Invoice Log'!$K$5:$K$104,"Yes"))</x:f>
      </x:c>
      <x:c r="J100" s="36" t="str">
        <x:f>IFERROR(I100/H100,"")</x:f>
      </x:c>
      <x:c r="K100" s="32" t="str">
        <x:f>IF(H100="","",H100-I100)</x:f>
      </x:c>
      <x:c r="L100" s="32" t="str">
        <x:f>IFERROR(K100/H100,"")</x:f>
      </x:c>
      <x:c r="M100" s="32"/>
      <x:c r="N100" s="32"/>
      <x:c r="O100" s="32" t="str">
        <x:f>IF(OR(M100="",N100=""),"",M100+I100-N100)</x:f>
      </x:c>
      <x:c r="P100" s="36" t="str">
        <x:f>IFERROR(O100/H100,"")</x:f>
      </x:c>
      <x:c r="Q100" s="36" t="str">
        <x:f>IFERROR((H100-O100)/H100,"")</x:f>
      </x:c>
      <x:c r="R100" s="21"/>
    </x:row>
    <x:row r="101">
      <x:c r="A101" s="30"/>
      <x:c r="B101" s="30"/>
      <x:c r="C101" s="21" t="str">
        <x:f>IF(A101="","",TEXT(A101,"yyyy-mm"))</x:f>
      </x:c>
      <x:c r="D101" s="32"/>
      <x:c r="E101" s="32"/>
      <x:c r="F101" s="32"/>
      <x:c r="G101" s="32"/>
      <x:c r="H101" s="32" t="str">
        <x:f>IF(D101="","",D101-E101-F101-G101)</x:f>
      </x:c>
      <x:c r="I101" s="32" t="str">
        <x:f>IF(OR(A101="",B101=""),"",SUMIFS('Invoice Log'!$J$5:$J$104,'Invoice Log'!$B$5:$B$104,"&gt;="&amp;A101,'Invoice Log'!$B$5:$B$104,"&lt;="&amp;B101,'Invoice Log'!$K$5:$K$104,"Yes"))</x:f>
      </x:c>
      <x:c r="J101" s="36" t="str">
        <x:f>IFERROR(I101/H101,"")</x:f>
      </x:c>
      <x:c r="K101" s="32" t="str">
        <x:f>IF(H101="","",H101-I101)</x:f>
      </x:c>
      <x:c r="L101" s="32" t="str">
        <x:f>IFERROR(K101/H101,"")</x:f>
      </x:c>
      <x:c r="M101" s="32"/>
      <x:c r="N101" s="32"/>
      <x:c r="O101" s="32" t="str">
        <x:f>IF(OR(M101="",N101=""),"",M101+I101-N101)</x:f>
      </x:c>
      <x:c r="P101" s="36" t="str">
        <x:f>IFERROR(O101/H101,"")</x:f>
      </x:c>
      <x:c r="Q101" s="36" t="str">
        <x:f>IFERROR((H101-O101)/H101,"")</x:f>
      </x:c>
      <x:c r="R101" s="21"/>
    </x:row>
    <x:row r="102">
      <x:c r="A102" s="30"/>
      <x:c r="B102" s="30"/>
      <x:c r="C102" s="21" t="str">
        <x:f>IF(A102="","",TEXT(A102,"yyyy-mm"))</x:f>
      </x:c>
      <x:c r="D102" s="32"/>
      <x:c r="E102" s="32"/>
      <x:c r="F102" s="32"/>
      <x:c r="G102" s="32"/>
      <x:c r="H102" s="32" t="str">
        <x:f>IF(D102="","",D102-E102-F102-G102)</x:f>
      </x:c>
      <x:c r="I102" s="32" t="str">
        <x:f>IF(OR(A102="",B102=""),"",SUMIFS('Invoice Log'!$J$5:$J$104,'Invoice Log'!$B$5:$B$104,"&gt;="&amp;A102,'Invoice Log'!$B$5:$B$104,"&lt;="&amp;B102,'Invoice Log'!$K$5:$K$104,"Yes"))</x:f>
      </x:c>
      <x:c r="J102" s="36" t="str">
        <x:f>IFERROR(I102/H102,"")</x:f>
      </x:c>
      <x:c r="K102" s="32" t="str">
        <x:f>IF(H102="","",H102-I102)</x:f>
      </x:c>
      <x:c r="L102" s="32" t="str">
        <x:f>IFERROR(K102/H102,"")</x:f>
      </x:c>
      <x:c r="M102" s="32"/>
      <x:c r="N102" s="32"/>
      <x:c r="O102" s="32" t="str">
        <x:f>IF(OR(M102="",N102=""),"",M102+I102-N102)</x:f>
      </x:c>
      <x:c r="P102" s="36" t="str">
        <x:f>IFERROR(O102/H102,"")</x:f>
      </x:c>
      <x:c r="Q102" s="36" t="str">
        <x:f>IFERROR((H102-O102)/H102,"")</x:f>
      </x:c>
      <x:c r="R102" s="21"/>
    </x:row>
    <x:row r="103">
      <x:c r="A103" s="30"/>
      <x:c r="B103" s="30"/>
      <x:c r="C103" s="21" t="str">
        <x:f>IF(A103="","",TEXT(A103,"yyyy-mm"))</x:f>
      </x:c>
      <x:c r="D103" s="32"/>
      <x:c r="E103" s="32"/>
      <x:c r="F103" s="32"/>
      <x:c r="G103" s="32"/>
      <x:c r="H103" s="32" t="str">
        <x:f>IF(D103="","",D103-E103-F103-G103)</x:f>
      </x:c>
      <x:c r="I103" s="32" t="str">
        <x:f>IF(OR(A103="",B103=""),"",SUMIFS('Invoice Log'!$J$5:$J$104,'Invoice Log'!$B$5:$B$104,"&gt;="&amp;A103,'Invoice Log'!$B$5:$B$104,"&lt;="&amp;B103,'Invoice Log'!$K$5:$K$104,"Yes"))</x:f>
      </x:c>
      <x:c r="J103" s="36" t="str">
        <x:f>IFERROR(I103/H103,"")</x:f>
      </x:c>
      <x:c r="K103" s="32" t="str">
        <x:f>IF(H103="","",H103-I103)</x:f>
      </x:c>
      <x:c r="L103" s="32" t="str">
        <x:f>IFERROR(K103/H103,"")</x:f>
      </x:c>
      <x:c r="M103" s="32"/>
      <x:c r="N103" s="32"/>
      <x:c r="O103" s="32" t="str">
        <x:f>IF(OR(M103="",N103=""),"",M103+I103-N103)</x:f>
      </x:c>
      <x:c r="P103" s="36" t="str">
        <x:f>IFERROR(O103/H103,"")</x:f>
      </x:c>
      <x:c r="Q103" s="36" t="str">
        <x:f>IFERROR((H103-O103)/H103,"")</x:f>
      </x:c>
      <x:c r="R103" s="21"/>
    </x:row>
    <x:row r="104">
      <x:c r="A104" s="30"/>
      <x:c r="B104" s="30"/>
      <x:c r="C104" s="21" t="str">
        <x:f>IF(A104="","",TEXT(A104,"yyyy-mm"))</x:f>
      </x:c>
      <x:c r="D104" s="32"/>
      <x:c r="E104" s="32"/>
      <x:c r="F104" s="32"/>
      <x:c r="G104" s="32"/>
      <x:c r="H104" s="32" t="str">
        <x:f>IF(D104="","",D104-E104-F104-G104)</x:f>
      </x:c>
      <x:c r="I104" s="32" t="str">
        <x:f>IF(OR(A104="",B104=""),"",SUMIFS('Invoice Log'!$J$5:$J$104,'Invoice Log'!$B$5:$B$104,"&gt;="&amp;A104,'Invoice Log'!$B$5:$B$104,"&lt;="&amp;B104,'Invoice Log'!$K$5:$K$104,"Yes"))</x:f>
      </x:c>
      <x:c r="J104" s="36" t="str">
        <x:f>IFERROR(I104/H104,"")</x:f>
      </x:c>
      <x:c r="K104" s="32" t="str">
        <x:f>IF(H104="","",H104-I104)</x:f>
      </x:c>
      <x:c r="L104" s="32" t="str">
        <x:f>IFERROR(K104/H104,"")</x:f>
      </x:c>
      <x:c r="M104" s="32"/>
      <x:c r="N104" s="32"/>
      <x:c r="O104" s="32" t="str">
        <x:f>IF(OR(M104="",N104=""),"",M104+I104-N104)</x:f>
      </x:c>
      <x:c r="P104" s="36" t="str">
        <x:f>IFERROR(O104/H104,"")</x:f>
      </x:c>
      <x:c r="Q104" s="36" t="str">
        <x:f>IFERROR((H104-O104)/H104,"")</x:f>
      </x:c>
      <x:c r="R104" s="21"/>
    </x:row>
  </x:sheetData>
  <x:mergeCells>
    <x:mergeCell ref="A1:R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22" hidden="0" customWidth="1"/>
    <x:col min="5" max="5" width="18" hidden="0" customWidth="1"/>
    <x:col min="6" max="6" width="46" hidden="0" customWidth="1"/>
    <x:col min="7" max="7" width="28" hidden="0" customWidth="1"/>
    <x:col min="8" max="8" width="12" hidden="0" customWidth="1"/>
    <x:col min="9" max="9" width="38" hidden="0" customWidth="1"/>
  </x:cols>
  <x:sheetData>
    <x:row r="1">
      <x:c r="A1" s="4" t="str">
        <x:v>Review Queue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</x:row>
    <x:row r="4">
      <x:c r="A4" s="15" t="str">
        <x:v>Created Date</x:v>
      </x:c>
      <x:c r="B4" s="15" t="str">
        <x:v>Type</x:v>
      </x:c>
      <x:c r="C4" s="15" t="str">
        <x:v>Invoice ID</x:v>
      </x:c>
      <x:c r="D4" s="15" t="str">
        <x:v>Vendor</x:v>
      </x:c>
      <x:c r="E4" s="15" t="str">
        <x:v>Item ID</x:v>
      </x:c>
      <x:c r="F4" s="15" t="str">
        <x:v>Issue</x:v>
      </x:c>
      <x:c r="G4" s="15" t="str">
        <x:v>Source Link</x:v>
      </x:c>
      <x:c r="H4" s="15" t="str">
        <x:v>Status</x:v>
      </x:c>
      <x:c r="I4" s="15" t="str">
        <x:v>Resolution</x:v>
      </x:c>
    </x:row>
    <x:row r="5">
      <x:c r="A5" s="30"/>
      <x:c r="B5" s="21"/>
      <x:c r="C5" s="21"/>
      <x:c r="D5" s="21"/>
      <x:c r="E5" s="21"/>
      <x:c r="F5" s="21"/>
      <x:c r="G5" s="21"/>
      <x:c r="H5" s="21"/>
      <x:c r="I5" s="21"/>
    </x:row>
    <x:row r="6">
      <x:c r="A6" s="30"/>
      <x:c r="B6" s="21"/>
      <x:c r="C6" s="21"/>
      <x:c r="D6" s="21"/>
      <x:c r="E6" s="21"/>
      <x:c r="F6" s="21"/>
      <x:c r="G6" s="21"/>
      <x:c r="H6" s="21"/>
      <x:c r="I6" s="21"/>
    </x:row>
    <x:row r="7">
      <x:c r="A7" s="30"/>
      <x:c r="B7" s="21"/>
      <x:c r="C7" s="21"/>
      <x:c r="D7" s="21"/>
      <x:c r="E7" s="21"/>
      <x:c r="F7" s="21"/>
      <x:c r="G7" s="21"/>
      <x:c r="H7" s="21"/>
      <x:c r="I7" s="21"/>
    </x:row>
    <x:row r="8">
      <x:c r="A8" s="30"/>
      <x:c r="B8" s="21"/>
      <x:c r="C8" s="21"/>
      <x:c r="D8" s="21"/>
      <x:c r="E8" s="21"/>
      <x:c r="F8" s="21"/>
      <x:c r="G8" s="21"/>
      <x:c r="H8" s="21"/>
      <x:c r="I8" s="21"/>
    </x:row>
    <x:row r="9">
      <x:c r="A9" s="30"/>
      <x:c r="B9" s="21"/>
      <x:c r="C9" s="21"/>
      <x:c r="D9" s="21"/>
      <x:c r="E9" s="21"/>
      <x:c r="F9" s="21"/>
      <x:c r="G9" s="21"/>
      <x:c r="H9" s="21"/>
      <x:c r="I9" s="21"/>
    </x:row>
    <x:row r="10">
      <x:c r="A10" s="30"/>
      <x:c r="B10" s="21"/>
      <x:c r="C10" s="21"/>
      <x:c r="D10" s="21"/>
      <x:c r="E10" s="21"/>
      <x:c r="F10" s="21"/>
      <x:c r="G10" s="21"/>
      <x:c r="H10" s="21"/>
      <x:c r="I10" s="21"/>
    </x:row>
    <x:row r="11">
      <x:c r="A11" s="30"/>
      <x:c r="B11" s="21"/>
      <x:c r="C11" s="21"/>
      <x:c r="D11" s="21"/>
      <x:c r="E11" s="21"/>
      <x:c r="F11" s="21"/>
      <x:c r="G11" s="21"/>
      <x:c r="H11" s="21"/>
      <x:c r="I11" s="21"/>
    </x:row>
    <x:row r="12">
      <x:c r="A12" s="30"/>
      <x:c r="B12" s="21"/>
      <x:c r="C12" s="21"/>
      <x:c r="D12" s="21"/>
      <x:c r="E12" s="21"/>
      <x:c r="F12" s="21"/>
      <x:c r="G12" s="21"/>
      <x:c r="H12" s="21"/>
      <x:c r="I12" s="21"/>
    </x:row>
    <x:row r="13">
      <x:c r="A13" s="30"/>
      <x:c r="B13" s="21"/>
      <x:c r="C13" s="21"/>
      <x:c r="D13" s="21"/>
      <x:c r="E13" s="21"/>
      <x:c r="F13" s="21"/>
      <x:c r="G13" s="21"/>
      <x:c r="H13" s="21"/>
      <x:c r="I13" s="21"/>
    </x:row>
    <x:row r="14">
      <x:c r="A14" s="30"/>
      <x:c r="B14" s="21"/>
      <x:c r="C14" s="21"/>
      <x:c r="D14" s="21"/>
      <x:c r="E14" s="21"/>
      <x:c r="F14" s="21"/>
      <x:c r="G14" s="21"/>
      <x:c r="H14" s="21"/>
      <x:c r="I14" s="21"/>
    </x:row>
    <x:row r="15">
      <x:c r="A15" s="30"/>
      <x:c r="B15" s="21"/>
      <x:c r="C15" s="21"/>
      <x:c r="D15" s="21"/>
      <x:c r="E15" s="21"/>
      <x:c r="F15" s="21"/>
      <x:c r="G15" s="21"/>
      <x:c r="H15" s="21"/>
      <x:c r="I15" s="21"/>
    </x:row>
    <x:row r="16">
      <x:c r="A16" s="30"/>
      <x:c r="B16" s="21"/>
      <x:c r="C16" s="21"/>
      <x:c r="D16" s="21"/>
      <x:c r="E16" s="21"/>
      <x:c r="F16" s="21"/>
      <x:c r="G16" s="21"/>
      <x:c r="H16" s="21"/>
      <x:c r="I16" s="21"/>
    </x:row>
    <x:row r="17">
      <x:c r="A17" s="30"/>
      <x:c r="B17" s="21"/>
      <x:c r="C17" s="21"/>
      <x:c r="D17" s="21"/>
      <x:c r="E17" s="21"/>
      <x:c r="F17" s="21"/>
      <x:c r="G17" s="21"/>
      <x:c r="H17" s="21"/>
      <x:c r="I17" s="21"/>
    </x:row>
    <x:row r="18">
      <x:c r="A18" s="30"/>
      <x:c r="B18" s="21"/>
      <x:c r="C18" s="21"/>
      <x:c r="D18" s="21"/>
      <x:c r="E18" s="21"/>
      <x:c r="F18" s="21"/>
      <x:c r="G18" s="21"/>
      <x:c r="H18" s="21"/>
      <x:c r="I18" s="21"/>
    </x:row>
    <x:row r="19">
      <x:c r="A19" s="30"/>
      <x:c r="B19" s="21"/>
      <x:c r="C19" s="21"/>
      <x:c r="D19" s="21"/>
      <x:c r="E19" s="21"/>
      <x:c r="F19" s="21"/>
      <x:c r="G19" s="21"/>
      <x:c r="H19" s="21"/>
      <x:c r="I19" s="21"/>
    </x:row>
    <x:row r="20">
      <x:c r="A20" s="30"/>
      <x:c r="B20" s="21"/>
      <x:c r="C20" s="21"/>
      <x:c r="D20" s="21"/>
      <x:c r="E20" s="21"/>
      <x:c r="F20" s="21"/>
      <x:c r="G20" s="21"/>
      <x:c r="H20" s="21"/>
      <x:c r="I20" s="21"/>
    </x:row>
    <x:row r="21">
      <x:c r="A21" s="30"/>
      <x:c r="B21" s="21"/>
      <x:c r="C21" s="21"/>
      <x:c r="D21" s="21"/>
      <x:c r="E21" s="21"/>
      <x:c r="F21" s="21"/>
      <x:c r="G21" s="21"/>
      <x:c r="H21" s="21"/>
      <x:c r="I21" s="21"/>
    </x:row>
    <x:row r="22">
      <x:c r="A22" s="30"/>
      <x:c r="B22" s="21"/>
      <x:c r="C22" s="21"/>
      <x:c r="D22" s="21"/>
      <x:c r="E22" s="21"/>
      <x:c r="F22" s="21"/>
      <x:c r="G22" s="21"/>
      <x:c r="H22" s="21"/>
      <x:c r="I22" s="21"/>
    </x:row>
    <x:row r="23">
      <x:c r="A23" s="30"/>
      <x:c r="B23" s="21"/>
      <x:c r="C23" s="21"/>
      <x:c r="D23" s="21"/>
      <x:c r="E23" s="21"/>
      <x:c r="F23" s="21"/>
      <x:c r="G23" s="21"/>
      <x:c r="H23" s="21"/>
      <x:c r="I23" s="21"/>
    </x:row>
    <x:row r="24">
      <x:c r="A24" s="30"/>
      <x:c r="B24" s="21"/>
      <x:c r="C24" s="21"/>
      <x:c r="D24" s="21"/>
      <x:c r="E24" s="21"/>
      <x:c r="F24" s="21"/>
      <x:c r="G24" s="21"/>
      <x:c r="H24" s="21"/>
      <x:c r="I24" s="21"/>
    </x:row>
    <x:row r="25">
      <x:c r="A25" s="30"/>
      <x:c r="B25" s="21"/>
      <x:c r="C25" s="21"/>
      <x:c r="D25" s="21"/>
      <x:c r="E25" s="21"/>
      <x:c r="F25" s="21"/>
      <x:c r="G25" s="21"/>
      <x:c r="H25" s="21"/>
      <x:c r="I25" s="21"/>
    </x:row>
    <x:row r="26">
      <x:c r="A26" s="30"/>
      <x:c r="B26" s="21"/>
      <x:c r="C26" s="21"/>
      <x:c r="D26" s="21"/>
      <x:c r="E26" s="21"/>
      <x:c r="F26" s="21"/>
      <x:c r="G26" s="21"/>
      <x:c r="H26" s="21"/>
      <x:c r="I26" s="21"/>
    </x:row>
    <x:row r="27">
      <x:c r="A27" s="30"/>
      <x:c r="B27" s="21"/>
      <x:c r="C27" s="21"/>
      <x:c r="D27" s="21"/>
      <x:c r="E27" s="21"/>
      <x:c r="F27" s="21"/>
      <x:c r="G27" s="21"/>
      <x:c r="H27" s="21"/>
      <x:c r="I27" s="21"/>
    </x:row>
    <x:row r="28">
      <x:c r="A28" s="30"/>
      <x:c r="B28" s="21"/>
      <x:c r="C28" s="21"/>
      <x:c r="D28" s="21"/>
      <x:c r="E28" s="21"/>
      <x:c r="F28" s="21"/>
      <x:c r="G28" s="21"/>
      <x:c r="H28" s="21"/>
      <x:c r="I28" s="21"/>
    </x:row>
    <x:row r="29">
      <x:c r="A29" s="30"/>
      <x:c r="B29" s="21"/>
      <x:c r="C29" s="21"/>
      <x:c r="D29" s="21"/>
      <x:c r="E29" s="21"/>
      <x:c r="F29" s="21"/>
      <x:c r="G29" s="21"/>
      <x:c r="H29" s="21"/>
      <x:c r="I29" s="21"/>
    </x:row>
    <x:row r="30">
      <x:c r="A30" s="30"/>
      <x:c r="B30" s="21"/>
      <x:c r="C30" s="21"/>
      <x:c r="D30" s="21"/>
      <x:c r="E30" s="21"/>
      <x:c r="F30" s="21"/>
      <x:c r="G30" s="21"/>
      <x:c r="H30" s="21"/>
      <x:c r="I30" s="21"/>
    </x:row>
    <x:row r="31">
      <x:c r="A31" s="30"/>
      <x:c r="B31" s="21"/>
      <x:c r="C31" s="21"/>
      <x:c r="D31" s="21"/>
      <x:c r="E31" s="21"/>
      <x:c r="F31" s="21"/>
      <x:c r="G31" s="21"/>
      <x:c r="H31" s="21"/>
      <x:c r="I31" s="21"/>
    </x:row>
    <x:row r="32">
      <x:c r="A32" s="30"/>
      <x:c r="B32" s="21"/>
      <x:c r="C32" s="21"/>
      <x:c r="D32" s="21"/>
      <x:c r="E32" s="21"/>
      <x:c r="F32" s="21"/>
      <x:c r="G32" s="21"/>
      <x:c r="H32" s="21"/>
      <x:c r="I32" s="21"/>
    </x:row>
    <x:row r="33">
      <x:c r="A33" s="30"/>
      <x:c r="B33" s="21"/>
      <x:c r="C33" s="21"/>
      <x:c r="D33" s="21"/>
      <x:c r="E33" s="21"/>
      <x:c r="F33" s="21"/>
      <x:c r="G33" s="21"/>
      <x:c r="H33" s="21"/>
      <x:c r="I33" s="21"/>
    </x:row>
    <x:row r="34">
      <x:c r="A34" s="30"/>
      <x:c r="B34" s="21"/>
      <x:c r="C34" s="21"/>
      <x:c r="D34" s="21"/>
      <x:c r="E34" s="21"/>
      <x:c r="F34" s="21"/>
      <x:c r="G34" s="21"/>
      <x:c r="H34" s="21"/>
      <x:c r="I34" s="21"/>
    </x:row>
    <x:row r="35">
      <x:c r="A35" s="30"/>
      <x:c r="B35" s="21"/>
      <x:c r="C35" s="21"/>
      <x:c r="D35" s="21"/>
      <x:c r="E35" s="21"/>
      <x:c r="F35" s="21"/>
      <x:c r="G35" s="21"/>
      <x:c r="H35" s="21"/>
      <x:c r="I35" s="21"/>
    </x:row>
    <x:row r="36">
      <x:c r="A36" s="30"/>
      <x:c r="B36" s="21"/>
      <x:c r="C36" s="21"/>
      <x:c r="D36" s="21"/>
      <x:c r="E36" s="21"/>
      <x:c r="F36" s="21"/>
      <x:c r="G36" s="21"/>
      <x:c r="H36" s="21"/>
      <x:c r="I36" s="21"/>
    </x:row>
    <x:row r="37">
      <x:c r="A37" s="30"/>
      <x:c r="B37" s="21"/>
      <x:c r="C37" s="21"/>
      <x:c r="D37" s="21"/>
      <x:c r="E37" s="21"/>
      <x:c r="F37" s="21"/>
      <x:c r="G37" s="21"/>
      <x:c r="H37" s="21"/>
      <x:c r="I37" s="21"/>
    </x:row>
    <x:row r="38">
      <x:c r="A38" s="30"/>
      <x:c r="B38" s="21"/>
      <x:c r="C38" s="21"/>
      <x:c r="D38" s="21"/>
      <x:c r="E38" s="21"/>
      <x:c r="F38" s="21"/>
      <x:c r="G38" s="21"/>
      <x:c r="H38" s="21"/>
      <x:c r="I38" s="21"/>
    </x:row>
    <x:row r="39">
      <x:c r="A39" s="30"/>
      <x:c r="B39" s="21"/>
      <x:c r="C39" s="21"/>
      <x:c r="D39" s="21"/>
      <x:c r="E39" s="21"/>
      <x:c r="F39" s="21"/>
      <x:c r="G39" s="21"/>
      <x:c r="H39" s="21"/>
      <x:c r="I39" s="21"/>
    </x:row>
    <x:row r="40">
      <x:c r="A40" s="30"/>
      <x:c r="B40" s="21"/>
      <x:c r="C40" s="21"/>
      <x:c r="D40" s="21"/>
      <x:c r="E40" s="21"/>
      <x:c r="F40" s="21"/>
      <x:c r="G40" s="21"/>
      <x:c r="H40" s="21"/>
      <x:c r="I40" s="21"/>
    </x:row>
    <x:row r="41">
      <x:c r="A41" s="30"/>
      <x:c r="B41" s="21"/>
      <x:c r="C41" s="21"/>
      <x:c r="D41" s="21"/>
      <x:c r="E41" s="21"/>
      <x:c r="F41" s="21"/>
      <x:c r="G41" s="21"/>
      <x:c r="H41" s="21"/>
      <x:c r="I41" s="21"/>
    </x:row>
    <x:row r="42">
      <x:c r="A42" s="30"/>
      <x:c r="B42" s="21"/>
      <x:c r="C42" s="21"/>
      <x:c r="D42" s="21"/>
      <x:c r="E42" s="21"/>
      <x:c r="F42" s="21"/>
      <x:c r="G42" s="21"/>
      <x:c r="H42" s="21"/>
      <x:c r="I42" s="21"/>
    </x:row>
    <x:row r="43">
      <x:c r="A43" s="30"/>
      <x:c r="B43" s="21"/>
      <x:c r="C43" s="21"/>
      <x:c r="D43" s="21"/>
      <x:c r="E43" s="21"/>
      <x:c r="F43" s="21"/>
      <x:c r="G43" s="21"/>
      <x:c r="H43" s="21"/>
      <x:c r="I43" s="21"/>
    </x:row>
    <x:row r="44">
      <x:c r="A44" s="30"/>
      <x:c r="B44" s="21"/>
      <x:c r="C44" s="21"/>
      <x:c r="D44" s="21"/>
      <x:c r="E44" s="21"/>
      <x:c r="F44" s="21"/>
      <x:c r="G44" s="21"/>
      <x:c r="H44" s="21"/>
      <x:c r="I44" s="21"/>
    </x:row>
    <x:row r="45">
      <x:c r="A45" s="30"/>
      <x:c r="B45" s="21"/>
      <x:c r="C45" s="21"/>
      <x:c r="D45" s="21"/>
      <x:c r="E45" s="21"/>
      <x:c r="F45" s="21"/>
      <x:c r="G45" s="21"/>
      <x:c r="H45" s="21"/>
      <x:c r="I45" s="21"/>
    </x:row>
    <x:row r="46">
      <x:c r="A46" s="30"/>
      <x:c r="B46" s="21"/>
      <x:c r="C46" s="21"/>
      <x:c r="D46" s="21"/>
      <x:c r="E46" s="21"/>
      <x:c r="F46" s="21"/>
      <x:c r="G46" s="21"/>
      <x:c r="H46" s="21"/>
      <x:c r="I46" s="21"/>
    </x:row>
    <x:row r="47">
      <x:c r="A47" s="30"/>
      <x:c r="B47" s="21"/>
      <x:c r="C47" s="21"/>
      <x:c r="D47" s="21"/>
      <x:c r="E47" s="21"/>
      <x:c r="F47" s="21"/>
      <x:c r="G47" s="21"/>
      <x:c r="H47" s="21"/>
      <x:c r="I47" s="21"/>
    </x:row>
    <x:row r="48">
      <x:c r="A48" s="30"/>
      <x:c r="B48" s="21"/>
      <x:c r="C48" s="21"/>
      <x:c r="D48" s="21"/>
      <x:c r="E48" s="21"/>
      <x:c r="F48" s="21"/>
      <x:c r="G48" s="21"/>
      <x:c r="H48" s="21"/>
      <x:c r="I48" s="21"/>
    </x:row>
    <x:row r="49">
      <x:c r="A49" s="30"/>
      <x:c r="B49" s="21"/>
      <x:c r="C49" s="21"/>
      <x:c r="D49" s="21"/>
      <x:c r="E49" s="21"/>
      <x:c r="F49" s="21"/>
      <x:c r="G49" s="21"/>
      <x:c r="H49" s="21"/>
      <x:c r="I49" s="21"/>
    </x:row>
    <x:row r="50">
      <x:c r="A50" s="30"/>
      <x:c r="B50" s="21"/>
      <x:c r="C50" s="21"/>
      <x:c r="D50" s="21"/>
      <x:c r="E50" s="21"/>
      <x:c r="F50" s="21"/>
      <x:c r="G50" s="21"/>
      <x:c r="H50" s="21"/>
      <x:c r="I50" s="21"/>
    </x:row>
    <x:row r="51">
      <x:c r="A51" s="30"/>
      <x:c r="B51" s="21"/>
      <x:c r="C51" s="21"/>
      <x:c r="D51" s="21"/>
      <x:c r="E51" s="21"/>
      <x:c r="F51" s="21"/>
      <x:c r="G51" s="21"/>
      <x:c r="H51" s="21"/>
      <x:c r="I51" s="21"/>
    </x:row>
    <x:row r="52">
      <x:c r="A52" s="30"/>
      <x:c r="B52" s="21"/>
      <x:c r="C52" s="21"/>
      <x:c r="D52" s="21"/>
      <x:c r="E52" s="21"/>
      <x:c r="F52" s="21"/>
      <x:c r="G52" s="21"/>
      <x:c r="H52" s="21"/>
      <x:c r="I52" s="21"/>
    </x:row>
    <x:row r="53">
      <x:c r="A53" s="30"/>
      <x:c r="B53" s="21"/>
      <x:c r="C53" s="21"/>
      <x:c r="D53" s="21"/>
      <x:c r="E53" s="21"/>
      <x:c r="F53" s="21"/>
      <x:c r="G53" s="21"/>
      <x:c r="H53" s="21"/>
      <x:c r="I53" s="21"/>
    </x:row>
    <x:row r="54">
      <x:c r="A54" s="30"/>
      <x:c r="B54" s="21"/>
      <x:c r="C54" s="21"/>
      <x:c r="D54" s="21"/>
      <x:c r="E54" s="21"/>
      <x:c r="F54" s="21"/>
      <x:c r="G54" s="21"/>
      <x:c r="H54" s="21"/>
      <x:c r="I54" s="21"/>
    </x:row>
    <x:row r="55">
      <x:c r="A55" s="30"/>
      <x:c r="B55" s="21"/>
      <x:c r="C55" s="21"/>
      <x:c r="D55" s="21"/>
      <x:c r="E55" s="21"/>
      <x:c r="F55" s="21"/>
      <x:c r="G55" s="21"/>
      <x:c r="H55" s="21"/>
      <x:c r="I55" s="21"/>
    </x:row>
    <x:row r="56">
      <x:c r="A56" s="30"/>
      <x:c r="B56" s="21"/>
      <x:c r="C56" s="21"/>
      <x:c r="D56" s="21"/>
      <x:c r="E56" s="21"/>
      <x:c r="F56" s="21"/>
      <x:c r="G56" s="21"/>
      <x:c r="H56" s="21"/>
      <x:c r="I56" s="21"/>
    </x:row>
    <x:row r="57">
      <x:c r="A57" s="30"/>
      <x:c r="B57" s="21"/>
      <x:c r="C57" s="21"/>
      <x:c r="D57" s="21"/>
      <x:c r="E57" s="21"/>
      <x:c r="F57" s="21"/>
      <x:c r="G57" s="21"/>
      <x:c r="H57" s="21"/>
      <x:c r="I57" s="21"/>
    </x:row>
    <x:row r="58">
      <x:c r="A58" s="30"/>
      <x:c r="B58" s="21"/>
      <x:c r="C58" s="21"/>
      <x:c r="D58" s="21"/>
      <x:c r="E58" s="21"/>
      <x:c r="F58" s="21"/>
      <x:c r="G58" s="21"/>
      <x:c r="H58" s="21"/>
      <x:c r="I58" s="21"/>
    </x:row>
    <x:row r="59">
      <x:c r="A59" s="30"/>
      <x:c r="B59" s="21"/>
      <x:c r="C59" s="21"/>
      <x:c r="D59" s="21"/>
      <x:c r="E59" s="21"/>
      <x:c r="F59" s="21"/>
      <x:c r="G59" s="21"/>
      <x:c r="H59" s="21"/>
      <x:c r="I59" s="21"/>
    </x:row>
    <x:row r="60">
      <x:c r="A60" s="30"/>
      <x:c r="B60" s="21"/>
      <x:c r="C60" s="21"/>
      <x:c r="D60" s="21"/>
      <x:c r="E60" s="21"/>
      <x:c r="F60" s="21"/>
      <x:c r="G60" s="21"/>
      <x:c r="H60" s="21"/>
      <x:c r="I60" s="21"/>
    </x:row>
    <x:row r="61">
      <x:c r="A61" s="30"/>
      <x:c r="B61" s="21"/>
      <x:c r="C61" s="21"/>
      <x:c r="D61" s="21"/>
      <x:c r="E61" s="21"/>
      <x:c r="F61" s="21"/>
      <x:c r="G61" s="21"/>
      <x:c r="H61" s="21"/>
      <x:c r="I61" s="21"/>
    </x:row>
    <x:row r="62">
      <x:c r="A62" s="30"/>
      <x:c r="B62" s="21"/>
      <x:c r="C62" s="21"/>
      <x:c r="D62" s="21"/>
      <x:c r="E62" s="21"/>
      <x:c r="F62" s="21"/>
      <x:c r="G62" s="21"/>
      <x:c r="H62" s="21"/>
      <x:c r="I62" s="21"/>
    </x:row>
    <x:row r="63">
      <x:c r="A63" s="30"/>
      <x:c r="B63" s="21"/>
      <x:c r="C63" s="21"/>
      <x:c r="D63" s="21"/>
      <x:c r="E63" s="21"/>
      <x:c r="F63" s="21"/>
      <x:c r="G63" s="21"/>
      <x:c r="H63" s="21"/>
      <x:c r="I63" s="21"/>
    </x:row>
    <x:row r="64">
      <x:c r="A64" s="30"/>
      <x:c r="B64" s="21"/>
      <x:c r="C64" s="21"/>
      <x:c r="D64" s="21"/>
      <x:c r="E64" s="21"/>
      <x:c r="F64" s="21"/>
      <x:c r="G64" s="21"/>
      <x:c r="H64" s="21"/>
      <x:c r="I64" s="21"/>
    </x:row>
    <x:row r="65">
      <x:c r="A65" s="30"/>
      <x:c r="B65" s="21"/>
      <x:c r="C65" s="21"/>
      <x:c r="D65" s="21"/>
      <x:c r="E65" s="21"/>
      <x:c r="F65" s="21"/>
      <x:c r="G65" s="21"/>
      <x:c r="H65" s="21"/>
      <x:c r="I65" s="21"/>
    </x:row>
    <x:row r="66">
      <x:c r="A66" s="30"/>
      <x:c r="B66" s="21"/>
      <x:c r="C66" s="21"/>
      <x:c r="D66" s="21"/>
      <x:c r="E66" s="21"/>
      <x:c r="F66" s="21"/>
      <x:c r="G66" s="21"/>
      <x:c r="H66" s="21"/>
      <x:c r="I66" s="21"/>
    </x:row>
    <x:row r="67">
      <x:c r="A67" s="30"/>
      <x:c r="B67" s="21"/>
      <x:c r="C67" s="21"/>
      <x:c r="D67" s="21"/>
      <x:c r="E67" s="21"/>
      <x:c r="F67" s="21"/>
      <x:c r="G67" s="21"/>
      <x:c r="H67" s="21"/>
      <x:c r="I67" s="21"/>
    </x:row>
    <x:row r="68">
      <x:c r="A68" s="30"/>
      <x:c r="B68" s="21"/>
      <x:c r="C68" s="21"/>
      <x:c r="D68" s="21"/>
      <x:c r="E68" s="21"/>
      <x:c r="F68" s="21"/>
      <x:c r="G68" s="21"/>
      <x:c r="H68" s="21"/>
      <x:c r="I68" s="21"/>
    </x:row>
    <x:row r="69">
      <x:c r="A69" s="30"/>
      <x:c r="B69" s="21"/>
      <x:c r="C69" s="21"/>
      <x:c r="D69" s="21"/>
      <x:c r="E69" s="21"/>
      <x:c r="F69" s="21"/>
      <x:c r="G69" s="21"/>
      <x:c r="H69" s="21"/>
      <x:c r="I69" s="21"/>
    </x:row>
    <x:row r="70">
      <x:c r="A70" s="30"/>
      <x:c r="B70" s="21"/>
      <x:c r="C70" s="21"/>
      <x:c r="D70" s="21"/>
      <x:c r="E70" s="21"/>
      <x:c r="F70" s="21"/>
      <x:c r="G70" s="21"/>
      <x:c r="H70" s="21"/>
      <x:c r="I70" s="21"/>
    </x:row>
    <x:row r="71">
      <x:c r="A71" s="30"/>
      <x:c r="B71" s="21"/>
      <x:c r="C71" s="21"/>
      <x:c r="D71" s="21"/>
      <x:c r="E71" s="21"/>
      <x:c r="F71" s="21"/>
      <x:c r="G71" s="21"/>
      <x:c r="H71" s="21"/>
      <x:c r="I71" s="21"/>
    </x:row>
    <x:row r="72">
      <x:c r="A72" s="30"/>
      <x:c r="B72" s="21"/>
      <x:c r="C72" s="21"/>
      <x:c r="D72" s="21"/>
      <x:c r="E72" s="21"/>
      <x:c r="F72" s="21"/>
      <x:c r="G72" s="21"/>
      <x:c r="H72" s="21"/>
      <x:c r="I72" s="21"/>
    </x:row>
    <x:row r="73">
      <x:c r="A73" s="30"/>
      <x:c r="B73" s="21"/>
      <x:c r="C73" s="21"/>
      <x:c r="D73" s="21"/>
      <x:c r="E73" s="21"/>
      <x:c r="F73" s="21"/>
      <x:c r="G73" s="21"/>
      <x:c r="H73" s="21"/>
      <x:c r="I73" s="21"/>
    </x:row>
    <x:row r="74">
      <x:c r="A74" s="30"/>
      <x:c r="B74" s="21"/>
      <x:c r="C74" s="21"/>
      <x:c r="D74" s="21"/>
      <x:c r="E74" s="21"/>
      <x:c r="F74" s="21"/>
      <x:c r="G74" s="21"/>
      <x:c r="H74" s="21"/>
      <x:c r="I74" s="21"/>
    </x:row>
    <x:row r="75">
      <x:c r="A75" s="30"/>
      <x:c r="B75" s="21"/>
      <x:c r="C75" s="21"/>
      <x:c r="D75" s="21"/>
      <x:c r="E75" s="21"/>
      <x:c r="F75" s="21"/>
      <x:c r="G75" s="21"/>
      <x:c r="H75" s="21"/>
      <x:c r="I75" s="21"/>
    </x:row>
    <x:row r="76">
      <x:c r="A76" s="30"/>
      <x:c r="B76" s="21"/>
      <x:c r="C76" s="21"/>
      <x:c r="D76" s="21"/>
      <x:c r="E76" s="21"/>
      <x:c r="F76" s="21"/>
      <x:c r="G76" s="21"/>
      <x:c r="H76" s="21"/>
      <x:c r="I76" s="21"/>
    </x:row>
    <x:row r="77">
      <x:c r="A77" s="30"/>
      <x:c r="B77" s="21"/>
      <x:c r="C77" s="21"/>
      <x:c r="D77" s="21"/>
      <x:c r="E77" s="21"/>
      <x:c r="F77" s="21"/>
      <x:c r="G77" s="21"/>
      <x:c r="H77" s="21"/>
      <x:c r="I77" s="21"/>
    </x:row>
    <x:row r="78">
      <x:c r="A78" s="30"/>
      <x:c r="B78" s="21"/>
      <x:c r="C78" s="21"/>
      <x:c r="D78" s="21"/>
      <x:c r="E78" s="21"/>
      <x:c r="F78" s="21"/>
      <x:c r="G78" s="21"/>
      <x:c r="H78" s="21"/>
      <x:c r="I78" s="21"/>
    </x:row>
    <x:row r="79">
      <x:c r="A79" s="30"/>
      <x:c r="B79" s="21"/>
      <x:c r="C79" s="21"/>
      <x:c r="D79" s="21"/>
      <x:c r="E79" s="21"/>
      <x:c r="F79" s="21"/>
      <x:c r="G79" s="21"/>
      <x:c r="H79" s="21"/>
      <x:c r="I79" s="21"/>
    </x:row>
    <x:row r="80">
      <x:c r="A80" s="30"/>
      <x:c r="B80" s="21"/>
      <x:c r="C80" s="21"/>
      <x:c r="D80" s="21"/>
      <x:c r="E80" s="21"/>
      <x:c r="F80" s="21"/>
      <x:c r="G80" s="21"/>
      <x:c r="H80" s="21"/>
      <x:c r="I80" s="21"/>
    </x:row>
    <x:row r="81">
      <x:c r="A81" s="30"/>
      <x:c r="B81" s="21"/>
      <x:c r="C81" s="21"/>
      <x:c r="D81" s="21"/>
      <x:c r="E81" s="21"/>
      <x:c r="F81" s="21"/>
      <x:c r="G81" s="21"/>
      <x:c r="H81" s="21"/>
      <x:c r="I81" s="21"/>
    </x:row>
    <x:row r="82">
      <x:c r="A82" s="30"/>
      <x:c r="B82" s="21"/>
      <x:c r="C82" s="21"/>
      <x:c r="D82" s="21"/>
      <x:c r="E82" s="21"/>
      <x:c r="F82" s="21"/>
      <x:c r="G82" s="21"/>
      <x:c r="H82" s="21"/>
      <x:c r="I82" s="21"/>
    </x:row>
    <x:row r="83">
      <x:c r="A83" s="30"/>
      <x:c r="B83" s="21"/>
      <x:c r="C83" s="21"/>
      <x:c r="D83" s="21"/>
      <x:c r="E83" s="21"/>
      <x:c r="F83" s="21"/>
      <x:c r="G83" s="21"/>
      <x:c r="H83" s="21"/>
      <x:c r="I83" s="21"/>
    </x:row>
    <x:row r="84">
      <x:c r="A84" s="30"/>
      <x:c r="B84" s="21"/>
      <x:c r="C84" s="21"/>
      <x:c r="D84" s="21"/>
      <x:c r="E84" s="21"/>
      <x:c r="F84" s="21"/>
      <x:c r="G84" s="21"/>
      <x:c r="H84" s="21"/>
      <x:c r="I84" s="21"/>
    </x:row>
    <x:row r="85">
      <x:c r="A85" s="30"/>
      <x:c r="B85" s="21"/>
      <x:c r="C85" s="21"/>
      <x:c r="D85" s="21"/>
      <x:c r="E85" s="21"/>
      <x:c r="F85" s="21"/>
      <x:c r="G85" s="21"/>
      <x:c r="H85" s="21"/>
      <x:c r="I85" s="21"/>
    </x:row>
    <x:row r="86">
      <x:c r="A86" s="30"/>
      <x:c r="B86" s="21"/>
      <x:c r="C86" s="21"/>
      <x:c r="D86" s="21"/>
      <x:c r="E86" s="21"/>
      <x:c r="F86" s="21"/>
      <x:c r="G86" s="21"/>
      <x:c r="H86" s="21"/>
      <x:c r="I86" s="21"/>
    </x:row>
    <x:row r="87">
      <x:c r="A87" s="30"/>
      <x:c r="B87" s="21"/>
      <x:c r="C87" s="21"/>
      <x:c r="D87" s="21"/>
      <x:c r="E87" s="21"/>
      <x:c r="F87" s="21"/>
      <x:c r="G87" s="21"/>
      <x:c r="H87" s="21"/>
      <x:c r="I87" s="21"/>
    </x:row>
    <x:row r="88">
      <x:c r="A88" s="30"/>
      <x:c r="B88" s="21"/>
      <x:c r="C88" s="21"/>
      <x:c r="D88" s="21"/>
      <x:c r="E88" s="21"/>
      <x:c r="F88" s="21"/>
      <x:c r="G88" s="21"/>
      <x:c r="H88" s="21"/>
      <x:c r="I88" s="21"/>
    </x:row>
    <x:row r="89">
      <x:c r="A89" s="30"/>
      <x:c r="B89" s="21"/>
      <x:c r="C89" s="21"/>
      <x:c r="D89" s="21"/>
      <x:c r="E89" s="21"/>
      <x:c r="F89" s="21"/>
      <x:c r="G89" s="21"/>
      <x:c r="H89" s="21"/>
      <x:c r="I89" s="21"/>
    </x:row>
    <x:row r="90">
      <x:c r="A90" s="30"/>
      <x:c r="B90" s="21"/>
      <x:c r="C90" s="21"/>
      <x:c r="D90" s="21"/>
      <x:c r="E90" s="21"/>
      <x:c r="F90" s="21"/>
      <x:c r="G90" s="21"/>
      <x:c r="H90" s="21"/>
      <x:c r="I90" s="21"/>
    </x:row>
    <x:row r="91">
      <x:c r="A91" s="30"/>
      <x:c r="B91" s="21"/>
      <x:c r="C91" s="21"/>
      <x:c r="D91" s="21"/>
      <x:c r="E91" s="21"/>
      <x:c r="F91" s="21"/>
      <x:c r="G91" s="21"/>
      <x:c r="H91" s="21"/>
      <x:c r="I91" s="21"/>
    </x:row>
    <x:row r="92">
      <x:c r="A92" s="30"/>
      <x:c r="B92" s="21"/>
      <x:c r="C92" s="21"/>
      <x:c r="D92" s="21"/>
      <x:c r="E92" s="21"/>
      <x:c r="F92" s="21"/>
      <x:c r="G92" s="21"/>
      <x:c r="H92" s="21"/>
      <x:c r="I92" s="21"/>
    </x:row>
    <x:row r="93">
      <x:c r="A93" s="30"/>
      <x:c r="B93" s="21"/>
      <x:c r="C93" s="21"/>
      <x:c r="D93" s="21"/>
      <x:c r="E93" s="21"/>
      <x:c r="F93" s="21"/>
      <x:c r="G93" s="21"/>
      <x:c r="H93" s="21"/>
      <x:c r="I93" s="21"/>
    </x:row>
    <x:row r="94">
      <x:c r="A94" s="30"/>
      <x:c r="B94" s="21"/>
      <x:c r="C94" s="21"/>
      <x:c r="D94" s="21"/>
      <x:c r="E94" s="21"/>
      <x:c r="F94" s="21"/>
      <x:c r="G94" s="21"/>
      <x:c r="H94" s="21"/>
      <x:c r="I94" s="21"/>
    </x:row>
    <x:row r="95">
      <x:c r="A95" s="30"/>
      <x:c r="B95" s="21"/>
      <x:c r="C95" s="21"/>
      <x:c r="D95" s="21"/>
      <x:c r="E95" s="21"/>
      <x:c r="F95" s="21"/>
      <x:c r="G95" s="21"/>
      <x:c r="H95" s="21"/>
      <x:c r="I95" s="21"/>
    </x:row>
    <x:row r="96">
      <x:c r="A96" s="30"/>
      <x:c r="B96" s="21"/>
      <x:c r="C96" s="21"/>
      <x:c r="D96" s="21"/>
      <x:c r="E96" s="21"/>
      <x:c r="F96" s="21"/>
      <x:c r="G96" s="21"/>
      <x:c r="H96" s="21"/>
      <x:c r="I96" s="21"/>
    </x:row>
    <x:row r="97">
      <x:c r="A97" s="30"/>
      <x:c r="B97" s="21"/>
      <x:c r="C97" s="21"/>
      <x:c r="D97" s="21"/>
      <x:c r="E97" s="21"/>
      <x:c r="F97" s="21"/>
      <x:c r="G97" s="21"/>
      <x:c r="H97" s="21"/>
      <x:c r="I97" s="21"/>
    </x:row>
    <x:row r="98">
      <x:c r="A98" s="30"/>
      <x:c r="B98" s="21"/>
      <x:c r="C98" s="21"/>
      <x:c r="D98" s="21"/>
      <x:c r="E98" s="21"/>
      <x:c r="F98" s="21"/>
      <x:c r="G98" s="21"/>
      <x:c r="H98" s="21"/>
      <x:c r="I98" s="21"/>
    </x:row>
    <x:row r="99">
      <x:c r="A99" s="30"/>
      <x:c r="B99" s="21"/>
      <x:c r="C99" s="21"/>
      <x:c r="D99" s="21"/>
      <x:c r="E99" s="21"/>
      <x:c r="F99" s="21"/>
      <x:c r="G99" s="21"/>
      <x:c r="H99" s="21"/>
      <x:c r="I99" s="21"/>
    </x:row>
    <x:row r="100">
      <x:c r="A100" s="30"/>
      <x:c r="B100" s="21"/>
      <x:c r="C100" s="21"/>
      <x:c r="D100" s="21"/>
      <x:c r="E100" s="21"/>
      <x:c r="F100" s="21"/>
      <x:c r="G100" s="21"/>
      <x:c r="H100" s="21"/>
      <x:c r="I100" s="21"/>
    </x:row>
    <x:row r="101">
      <x:c r="A101" s="30"/>
      <x:c r="B101" s="21"/>
      <x:c r="C101" s="21"/>
      <x:c r="D101" s="21"/>
      <x:c r="E101" s="21"/>
      <x:c r="F101" s="21"/>
      <x:c r="G101" s="21"/>
      <x:c r="H101" s="21"/>
      <x:c r="I101" s="21"/>
    </x:row>
    <x:row r="102">
      <x:c r="A102" s="30"/>
      <x:c r="B102" s="21"/>
      <x:c r="C102" s="21"/>
      <x:c r="D102" s="21"/>
      <x:c r="E102" s="21"/>
      <x:c r="F102" s="21"/>
      <x:c r="G102" s="21"/>
      <x:c r="H102" s="21"/>
      <x:c r="I102" s="21"/>
    </x:row>
    <x:row r="103">
      <x:c r="A103" s="30"/>
      <x:c r="B103" s="21"/>
      <x:c r="C103" s="21"/>
      <x:c r="D103" s="21"/>
      <x:c r="E103" s="21"/>
      <x:c r="F103" s="21"/>
      <x:c r="G103" s="21"/>
      <x:c r="H103" s="21"/>
      <x:c r="I103" s="21"/>
    </x:row>
    <x:row r="104">
      <x:c r="A104" s="30"/>
      <x:c r="B104" s="21"/>
      <x:c r="C104" s="21"/>
      <x:c r="D104" s="21"/>
      <x:c r="E104" s="21"/>
      <x:c r="F104" s="21"/>
      <x:c r="G104" s="21"/>
      <x:c r="H104" s="21"/>
      <x:c r="I104" s="21"/>
    </x:row>
  </x:sheetData>
  <x:mergeCells>
    <x:mergeCell ref="A1:I2"/>
  </x:mergeCells>
  <x:conditionalFormatting sqref="H5:H104">
    <x:cfRule type="expression" dxfId="3" priority="1">
      <x:formula>H5="Open"</x:formula>
    </x:cfRule>
    <x:cfRule type="expression" dxfId="4" priority="2">
      <x:formula>H5="Resolved"</x:formula>
    </x:cfRule>
  </x:conditionalFormatting>
  <x:dataValidations count="1">
    <x:dataValidation type="list" sqref="H5:H104">
      <x:formula1>"Open,Resolved,Ignored"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4" max="4" width="18" hidden="0" customWidth="1"/>
  </x:cols>
  <x:sheetData>
    <x:row r="1">
      <x:c r="A1" s="4" t="str">
        <x:v>Settings</x:v>
      </x:c>
      <x:c r="B1" s="4"/>
      <x:c r="C1" s="4"/>
      <x:c r="D1" s="4"/>
    </x:row>
    <x:row r="2">
      <x:c r="A2" s="4"/>
      <x:c r="B2" s="4"/>
      <x:c r="C2" s="4"/>
      <x:c r="D2" s="4"/>
    </x:row>
    <x:row r="4">
      <x:c r="A4" s="15" t="str">
        <x:v>Setting</x:v>
      </x:c>
      <x:c r="B4" s="15" t="str">
        <x:v>Value</x:v>
      </x:c>
      <x:c r="D4" s="15" t="str">
        <x:v>Categories</x:v>
      </x:c>
    </x:row>
    <x:row r="5">
      <x:c r="A5" t="str">
        <x:v>Restaurant Name</x:v>
      </x:c>
      <x:c r="B5" t="str">
        <x:v>YOUR RESTAURANT NAME</x:v>
      </x:c>
      <x:c r="D5" t="str">
        <x:v>Food</x:v>
      </x:c>
    </x:row>
    <x:row r="6">
      <x:c r="A6" t="str">
        <x:v>Currency</x:v>
      </x:c>
      <x:c r="B6" t="str">
        <x:v>USD</x:v>
      </x:c>
      <x:c r="D6" t="str">
        <x:v>Beverage</x:v>
      </x:c>
    </x:row>
    <x:row r="7">
      <x:c r="A7" t="str">
        <x:v>Reporting Year</x:v>
      </x:c>
      <x:c r="B7" t="n">
        <x:v>2026</x:v>
      </x:c>
      <x:c r="D7" t="str">
        <x:v>Packaging</x:v>
      </x:c>
    </x:row>
    <x:row r="8">
      <x:c r="A8" t="str">
        <x:v>Selected Dashboard Month</x:v>
      </x:c>
      <x:c r="B8" t="str">
        <x:f>TEXT(TODAY(),"yyyy-mm")</x:f>
        <x:v>2026-07</x:v>
      </x:c>
      <x:c r="D8" t="str">
        <x:v>Cleaning</x:v>
      </x:c>
    </x:row>
    <x:row r="9">
      <x:c r="A9" t="str">
        <x:v>Price Alert Threshold</x:v>
      </x:c>
      <x:c r="B9" s="26" t="n">
        <x:v>0.05</x:v>
      </x:c>
      <x:c r="D9" t="str">
        <x:v>Supplies</x:v>
      </x:c>
    </x:row>
    <x:row r="10">
      <x:c r="A10" t="str">
        <x:v>OCR Confidence Minimum</x:v>
      </x:c>
      <x:c r="B10" s="26" t="n">
        <x:v>0.85</x:v>
      </x:c>
      <x:c r="D10" t="str">
        <x:v>Fees</x:v>
      </x:c>
    </x:row>
    <x:row r="11">
      <x:c r="A11" t="str">
        <x:v>Invoice Math Tolerance</x:v>
      </x:c>
      <x:c r="B11" s="28" t="n">
        <x:v>0.05</x:v>
      </x:c>
      <x:c r="D11" t="str">
        <x:v>Equipment</x:v>
      </x:c>
    </x:row>
    <x:row r="12">
      <x:c r="A12" t="str">
        <x:v>Week Starts On</x:v>
      </x:c>
      <x:c r="B12" t="str">
        <x:v>Monday</x:v>
      </x:c>
      <x:c r="D12" t="str">
        <x:v>Other</x:v>
      </x:c>
    </x:row>
  </x:sheetData>
  <x:mergeCells>
    <x:mergeCell ref="A1:D2"/>
  </x:mergeCells>
  <x:pageMargins left="0.7" right="0.7" top="0.75" bottom="0.75" header="0.3" footer="0.3"/>
</x:worksheet>
</file>